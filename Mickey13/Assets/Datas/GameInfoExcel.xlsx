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UNITY PROJECT\Mickey13\Mickey13\Assets\Datas\"/>
    </mc:Choice>
  </mc:AlternateContent>
  <xr:revisionPtr revIDLastSave="0" documentId="13_ncr:1_{CB5A1C75-7D2D-4160-9A20-24BC2E9E1BD1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Character_Status" sheetId="1" r:id="rId1"/>
    <sheet name="Character_IDs" sheetId="2" r:id="rId2"/>
    <sheet name="Skill_IDs" sheetId="3" r:id="rId3"/>
    <sheet name="Enemy_Status" sheetId="4" r:id="rId4"/>
    <sheet name="Enemy_IDs" sheetId="5" r:id="rId5"/>
    <sheet name="Rune_IDs" sheetId="6" r:id="rId6"/>
    <sheet name="Artifact_IDs" sheetId="7" r:id="rId7"/>
    <sheet name="QuestInf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6" l="1"/>
  <c r="B56" i="6"/>
  <c r="B37" i="6"/>
  <c r="B36" i="6"/>
  <c r="B9" i="6"/>
  <c r="B8" i="6"/>
  <c r="H57" i="6"/>
  <c r="H56" i="6"/>
  <c r="H37" i="6"/>
  <c r="H36" i="6"/>
  <c r="H29" i="6"/>
  <c r="H17" i="6"/>
  <c r="H16" i="6"/>
  <c r="H9" i="6"/>
  <c r="H8" i="6"/>
  <c r="O9" i="6"/>
  <c r="O8" i="6"/>
  <c r="M37" i="6" a="1"/>
  <c r="M37" i="6" s="1"/>
  <c r="M36" i="6" a="1"/>
  <c r="M36" i="6" s="1"/>
  <c r="M57" i="6" a="1"/>
  <c r="M57" i="6" s="1"/>
  <c r="M56" i="6" a="1"/>
  <c r="M56" i="6" s="1"/>
  <c r="N57" i="6" a="1"/>
  <c r="N57" i="6" s="1"/>
  <c r="O57" i="6" s="1"/>
  <c r="N37" i="6" a="1"/>
  <c r="N37" i="6" s="1"/>
  <c r="O37" i="6" s="1"/>
  <c r="N17" i="6" a="1"/>
  <c r="N17" i="6" s="1"/>
  <c r="O17" i="6" s="1"/>
  <c r="B17" i="6" s="1"/>
  <c r="N56" i="6" a="1"/>
  <c r="N56" i="6" s="1"/>
  <c r="O56" i="6" s="1"/>
  <c r="N36" i="6" a="1"/>
  <c r="N36" i="6" s="1"/>
  <c r="O36" i="6" s="1"/>
  <c r="N16" i="6" a="1"/>
  <c r="N16" i="6" s="1"/>
  <c r="O16" i="6" s="1"/>
  <c r="B16" i="6" s="1"/>
  <c r="M17" i="6" a="1"/>
  <c r="M17" i="6" s="1"/>
  <c r="M16" i="6" a="1"/>
  <c r="M16" i="6" s="1"/>
  <c r="M9" i="6" a="1"/>
  <c r="M9" i="6" s="1"/>
  <c r="N9" i="6" a="1"/>
  <c r="N9" i="6" s="1"/>
  <c r="N8" i="6" a="1"/>
  <c r="N8" i="6" s="1"/>
  <c r="H61" i="6"/>
  <c r="H60" i="6"/>
  <c r="M8" i="6" a="1"/>
  <c r="M8" i="6" s="1"/>
  <c r="N66" i="6" a="1"/>
  <c r="N66" i="6" s="1"/>
  <c r="N65" i="6" a="1"/>
  <c r="N65" i="6" s="1"/>
  <c r="N64" i="6" a="1"/>
  <c r="N64" i="6" s="1"/>
  <c r="N63" i="6" a="1"/>
  <c r="N63" i="6" s="1"/>
  <c r="N62" i="6" a="1"/>
  <c r="N62" i="6" s="1"/>
  <c r="N60" i="6" a="1"/>
  <c r="N60" i="6" s="1"/>
  <c r="O60" i="6" s="1"/>
  <c r="N59" i="6" a="1"/>
  <c r="N59" i="6" s="1"/>
  <c r="O59" i="6" s="1"/>
  <c r="N58" i="6" a="1"/>
  <c r="N58" i="6" s="1"/>
  <c r="O58" i="6" s="1"/>
  <c r="N55" i="6" a="1"/>
  <c r="N55" i="6" s="1"/>
  <c r="O55" i="6" s="1"/>
  <c r="N54" i="6" a="1"/>
  <c r="N54" i="6" s="1"/>
  <c r="O54" i="6" s="1"/>
  <c r="N53" i="6" a="1"/>
  <c r="N53" i="6" s="1"/>
  <c r="O53" i="6" s="1"/>
  <c r="N52" i="6" a="1"/>
  <c r="N52" i="6" s="1"/>
  <c r="O52" i="6" s="1"/>
  <c r="N51" i="6" a="1"/>
  <c r="N51" i="6" s="1"/>
  <c r="O51" i="6" s="1"/>
  <c r="N50" i="6" a="1"/>
  <c r="N50" i="6" s="1"/>
  <c r="O50" i="6" s="1"/>
  <c r="N49" i="6" a="1"/>
  <c r="N49" i="6" s="1"/>
  <c r="O49" i="6" s="1"/>
  <c r="N48" i="6" a="1"/>
  <c r="N48" i="6" s="1"/>
  <c r="O48" i="6" s="1"/>
  <c r="N47" i="6" a="1"/>
  <c r="N47" i="6" s="1"/>
  <c r="O47" i="6" s="1"/>
  <c r="N46" i="6" a="1"/>
  <c r="N46" i="6" s="1"/>
  <c r="O46" i="6" s="1"/>
  <c r="N45" i="6" a="1"/>
  <c r="N45" i="6" s="1"/>
  <c r="O45" i="6" s="1"/>
  <c r="N44" i="6" a="1"/>
  <c r="N44" i="6" s="1"/>
  <c r="O44" i="6" s="1"/>
  <c r="N43" i="6" a="1"/>
  <c r="N43" i="6" s="1"/>
  <c r="O43" i="6" s="1"/>
  <c r="N42" i="6" a="1"/>
  <c r="N42" i="6" s="1"/>
  <c r="O42" i="6" s="1"/>
  <c r="N41" i="6" a="1"/>
  <c r="N41" i="6" s="1"/>
  <c r="O41" i="6" s="1"/>
  <c r="N40" i="6" a="1"/>
  <c r="N40" i="6" s="1"/>
  <c r="O40" i="6" s="1"/>
  <c r="N39" i="6" a="1"/>
  <c r="N39" i="6" s="1"/>
  <c r="O39" i="6" s="1"/>
  <c r="N38" i="6" a="1"/>
  <c r="N38" i="6" s="1"/>
  <c r="O38" i="6" s="1"/>
  <c r="N35" i="6" a="1"/>
  <c r="N35" i="6" s="1"/>
  <c r="O35" i="6" s="1"/>
  <c r="N34" i="6" a="1"/>
  <c r="N34" i="6" s="1"/>
  <c r="O34" i="6" s="1"/>
  <c r="N33" i="6" a="1"/>
  <c r="N33" i="6" s="1"/>
  <c r="O33" i="6" s="1"/>
  <c r="N32" i="6" a="1"/>
  <c r="N32" i="6" s="1"/>
  <c r="O32" i="6" s="1"/>
  <c r="N31" i="6" a="1"/>
  <c r="N31" i="6" s="1"/>
  <c r="O31" i="6" s="1"/>
  <c r="N30" i="6" a="1"/>
  <c r="N30" i="6" s="1"/>
  <c r="O30" i="6" s="1"/>
  <c r="N29" i="6" a="1"/>
  <c r="N29" i="6" s="1"/>
  <c r="O29" i="6" s="1"/>
  <c r="N28" i="6" a="1"/>
  <c r="N28" i="6" s="1"/>
  <c r="O28" i="6" s="1"/>
  <c r="N27" i="6" a="1"/>
  <c r="N27" i="6" s="1"/>
  <c r="O27" i="6" s="1"/>
  <c r="N26" i="6" a="1"/>
  <c r="N26" i="6" s="1"/>
  <c r="O26" i="6" s="1"/>
  <c r="N25" i="6" a="1"/>
  <c r="N25" i="6" s="1"/>
  <c r="O25" i="6" s="1"/>
  <c r="N24" i="6" a="1"/>
  <c r="N24" i="6" s="1"/>
  <c r="O24" i="6" s="1"/>
  <c r="N23" i="6" a="1"/>
  <c r="N23" i="6" s="1"/>
  <c r="O23" i="6" s="1"/>
  <c r="N22" i="6" a="1"/>
  <c r="N22" i="6" s="1"/>
  <c r="O22" i="6" s="1"/>
  <c r="N21" i="6" a="1"/>
  <c r="N21" i="6" s="1"/>
  <c r="O21" i="6" s="1"/>
  <c r="N20" i="6" a="1"/>
  <c r="N20" i="6" s="1"/>
  <c r="O20" i="6" s="1"/>
  <c r="N19" i="6" a="1"/>
  <c r="N19" i="6" s="1"/>
  <c r="O19" i="6" s="1"/>
  <c r="N18" i="6" a="1"/>
  <c r="N18" i="6" s="1"/>
  <c r="O18" i="6" s="1"/>
  <c r="N15" i="6" a="1"/>
  <c r="N15" i="6" s="1"/>
  <c r="O15" i="6" s="1"/>
  <c r="N14" i="6" a="1"/>
  <c r="N14" i="6" s="1"/>
  <c r="O14" i="6" s="1"/>
  <c r="N13" i="6" a="1"/>
  <c r="N13" i="6" s="1"/>
  <c r="O13" i="6" s="1"/>
  <c r="N12" i="6" a="1"/>
  <c r="N12" i="6" s="1"/>
  <c r="O12" i="6" s="1"/>
  <c r="N11" i="6" a="1"/>
  <c r="N11" i="6" s="1"/>
  <c r="O11" i="6" s="1"/>
  <c r="N10" i="6" a="1"/>
  <c r="N10" i="6" s="1"/>
  <c r="O10" i="6" s="1"/>
  <c r="N7" i="6" a="1"/>
  <c r="N7" i="6" s="1"/>
  <c r="O7" i="6" s="1"/>
  <c r="N6" i="6" a="1"/>
  <c r="N6" i="6" s="1"/>
  <c r="O6" i="6" s="1"/>
  <c r="N5" i="6" a="1"/>
  <c r="N5" i="6" s="1"/>
  <c r="O5" i="6" s="1"/>
  <c r="N4" i="6" a="1"/>
  <c r="N4" i="6" s="1"/>
  <c r="O4" i="6" s="1"/>
  <c r="N3" i="6" a="1"/>
  <c r="N3" i="6" s="1"/>
  <c r="O3" i="6" s="1"/>
  <c r="N2" i="6" a="1"/>
  <c r="N2" i="6" s="1"/>
  <c r="O2" i="6" s="1"/>
  <c r="N61" i="6" a="1"/>
  <c r="N61" i="6" s="1"/>
  <c r="O61" i="6" s="1"/>
  <c r="M66" i="6" a="1"/>
  <c r="M66" i="6" s="1"/>
  <c r="M65" i="6" a="1"/>
  <c r="M65" i="6" s="1"/>
  <c r="M64" i="6" a="1"/>
  <c r="M64" i="6" s="1"/>
  <c r="M63" i="6" a="1"/>
  <c r="M63" i="6" s="1"/>
  <c r="M62" i="6" a="1"/>
  <c r="M62" i="6" s="1"/>
  <c r="M61" i="6" a="1"/>
  <c r="M61" i="6" s="1"/>
  <c r="M60" i="6" a="1"/>
  <c r="M60" i="6" s="1"/>
  <c r="M58" i="6" a="1"/>
  <c r="M58" i="6" s="1"/>
  <c r="M55" i="6" a="1"/>
  <c r="M55" i="6" s="1"/>
  <c r="M54" i="6" a="1"/>
  <c r="M54" i="6" s="1"/>
  <c r="M53" i="6" a="1"/>
  <c r="M53" i="6" s="1"/>
  <c r="M52" i="6" a="1"/>
  <c r="M52" i="6" s="1"/>
  <c r="M51" i="6" a="1"/>
  <c r="M51" i="6" s="1"/>
  <c r="M50" i="6" a="1"/>
  <c r="M50" i="6" s="1"/>
  <c r="M49" i="6" a="1"/>
  <c r="M49" i="6" s="1"/>
  <c r="M48" i="6" a="1"/>
  <c r="M48" i="6" s="1"/>
  <c r="M47" i="6" a="1"/>
  <c r="M47" i="6" s="1"/>
  <c r="M46" i="6" a="1"/>
  <c r="M46" i="6" s="1"/>
  <c r="M45" i="6" a="1"/>
  <c r="M45" i="6" s="1"/>
  <c r="H45" i="6" s="1"/>
  <c r="M44" i="6" a="1"/>
  <c r="M44" i="6" s="1"/>
  <c r="M43" i="6" a="1"/>
  <c r="M43" i="6" s="1"/>
  <c r="M42" i="6" a="1"/>
  <c r="M42" i="6" s="1"/>
  <c r="M41" i="6" a="1"/>
  <c r="M41" i="6" s="1"/>
  <c r="M40" i="6" a="1"/>
  <c r="M40" i="6" s="1"/>
  <c r="M39" i="6" a="1"/>
  <c r="M39" i="6" s="1"/>
  <c r="M38" i="6" a="1"/>
  <c r="M38" i="6" s="1"/>
  <c r="M35" i="6" a="1"/>
  <c r="M35" i="6" s="1"/>
  <c r="M34" i="6" a="1"/>
  <c r="M34" i="6" s="1"/>
  <c r="M33" i="6" a="1"/>
  <c r="M33" i="6" s="1"/>
  <c r="M32" i="6" a="1"/>
  <c r="M32" i="6" s="1"/>
  <c r="M31" i="6" a="1"/>
  <c r="M31" i="6" s="1"/>
  <c r="M30" i="6" a="1"/>
  <c r="M30" i="6" s="1"/>
  <c r="M29" i="6" a="1"/>
  <c r="M29" i="6" s="1"/>
  <c r="M28" i="6" a="1"/>
  <c r="M28" i="6" s="1"/>
  <c r="M27" i="6" a="1"/>
  <c r="M27" i="6" s="1"/>
  <c r="M26" i="6" a="1"/>
  <c r="M26" i="6" s="1"/>
  <c r="M25" i="6" a="1"/>
  <c r="M25" i="6" s="1"/>
  <c r="M24" i="6" a="1"/>
  <c r="M24" i="6" s="1"/>
  <c r="M23" i="6" a="1"/>
  <c r="M23" i="6" s="1"/>
  <c r="M22" i="6" a="1"/>
  <c r="M22" i="6" s="1"/>
  <c r="M21" i="6" a="1"/>
  <c r="M21" i="6" s="1"/>
  <c r="M20" i="6" a="1"/>
  <c r="M20" i="6" s="1"/>
  <c r="M19" i="6" a="1"/>
  <c r="M19" i="6" s="1"/>
  <c r="M18" i="6" a="1"/>
  <c r="M18" i="6" s="1"/>
  <c r="M15" i="6" a="1"/>
  <c r="M15" i="6" s="1"/>
  <c r="M14" i="6" a="1"/>
  <c r="M14" i="6" s="1"/>
  <c r="M13" i="6" a="1"/>
  <c r="M13" i="6" s="1"/>
  <c r="M12" i="6" a="1"/>
  <c r="M12" i="6" s="1"/>
  <c r="M11" i="6" a="1"/>
  <c r="M11" i="6" s="1"/>
  <c r="M10" i="6" a="1"/>
  <c r="M10" i="6" s="1"/>
  <c r="M7" i="6" a="1"/>
  <c r="M7" i="6" s="1"/>
  <c r="M6" i="6" a="1"/>
  <c r="M6" i="6" s="1"/>
  <c r="M5" i="6" a="1"/>
  <c r="M5" i="6" s="1"/>
  <c r="M4" i="6" a="1"/>
  <c r="M4" i="6" s="1"/>
  <c r="M3" i="6" a="1"/>
  <c r="M3" i="6" s="1"/>
  <c r="M2" i="6" a="1"/>
  <c r="M2" i="6" s="1"/>
  <c r="M59" i="6" a="1"/>
  <c r="M59" i="6" s="1"/>
  <c r="G3" i="7"/>
  <c r="G5" i="7"/>
  <c r="G4" i="7"/>
  <c r="G6" i="7"/>
  <c r="G12" i="7"/>
  <c r="B61" i="6" l="1"/>
  <c r="B60" i="6"/>
  <c r="B59" i="6"/>
  <c r="B58" i="6"/>
  <c r="H11" i="6"/>
  <c r="H47" i="6"/>
  <c r="H13" i="6"/>
  <c r="H31" i="6"/>
  <c r="H49" i="6"/>
  <c r="H42" i="6"/>
  <c r="H27" i="6"/>
  <c r="H10" i="6"/>
  <c r="H12" i="6"/>
  <c r="H30" i="6"/>
  <c r="H32" i="6"/>
  <c r="H44" i="6"/>
  <c r="H14" i="6"/>
  <c r="H50" i="6"/>
  <c r="H15" i="6"/>
  <c r="H33" i="6"/>
  <c r="H51" i="6"/>
  <c r="H18" i="6"/>
  <c r="H52" i="6"/>
  <c r="H24" i="6"/>
  <c r="H48" i="6"/>
  <c r="H34" i="6"/>
  <c r="H19" i="6"/>
  <c r="H35" i="6"/>
  <c r="H53" i="6"/>
  <c r="H6" i="6"/>
  <c r="H38" i="6"/>
  <c r="H54" i="6"/>
  <c r="H7" i="6"/>
  <c r="H20" i="6"/>
  <c r="H21" i="6"/>
  <c r="H39" i="6"/>
  <c r="H55" i="6"/>
  <c r="H46" i="6"/>
  <c r="H2" i="6"/>
  <c r="H22" i="6"/>
  <c r="H40" i="6"/>
  <c r="H26" i="6"/>
  <c r="H28" i="6"/>
  <c r="H3" i="6"/>
  <c r="H23" i="6"/>
  <c r="H41" i="6"/>
  <c r="H4" i="6"/>
  <c r="H5" i="6"/>
  <c r="H25" i="6"/>
  <c r="H43" i="6"/>
  <c r="G35" i="7"/>
  <c r="G34" i="7"/>
  <c r="G33" i="7"/>
  <c r="G32" i="7"/>
  <c r="G31" i="7"/>
  <c r="G30" i="7"/>
  <c r="G29" i="7"/>
  <c r="G28" i="7"/>
  <c r="G26" i="7"/>
  <c r="G27" i="7"/>
  <c r="G24" i="7"/>
  <c r="G25" i="7"/>
  <c r="G23" i="7"/>
  <c r="G22" i="7"/>
  <c r="G21" i="7"/>
  <c r="G17" i="7"/>
  <c r="G19" i="7"/>
  <c r="G18" i="7"/>
  <c r="G16" i="7"/>
  <c r="G15" i="7"/>
  <c r="G13" i="7"/>
  <c r="G11" i="7"/>
  <c r="G10" i="7"/>
  <c r="G9" i="7"/>
  <c r="G8" i="7"/>
  <c r="G7" i="7"/>
  <c r="G2" i="7"/>
  <c r="G14" i="7"/>
  <c r="B53" i="6" l="1"/>
  <c r="B54" i="6"/>
  <c r="B26" i="6"/>
  <c r="B23" i="6"/>
  <c r="B13" i="6"/>
  <c r="B50" i="6"/>
  <c r="B51" i="6"/>
  <c r="B41" i="6"/>
  <c r="B47" i="6"/>
  <c r="B3" i="6"/>
  <c r="B48" i="6"/>
  <c r="B27" i="6"/>
  <c r="B43" i="6"/>
  <c r="B42" i="6"/>
  <c r="B24" i="6"/>
  <c r="B29" i="6"/>
  <c r="B35" i="6"/>
  <c r="B28" i="6"/>
  <c r="B11" i="6"/>
  <c r="B19" i="6"/>
  <c r="B49" i="6"/>
  <c r="B34" i="6"/>
  <c r="B45" i="6"/>
  <c r="B18" i="6"/>
  <c r="B33" i="6"/>
  <c r="B12" i="6"/>
  <c r="B21" i="6"/>
  <c r="B30" i="6"/>
  <c r="B38" i="6"/>
  <c r="B20" i="6"/>
  <c r="B6" i="6"/>
  <c r="B31" i="6"/>
  <c r="B5" i="6"/>
  <c r="B2" i="6"/>
  <c r="B55" i="6"/>
  <c r="B22" i="6"/>
  <c r="B46" i="6"/>
  <c r="B39" i="6"/>
  <c r="B14" i="6"/>
  <c r="B7" i="6"/>
  <c r="B32" i="6"/>
  <c r="B40" i="6"/>
  <c r="B15" i="6"/>
  <c r="B4" i="6"/>
  <c r="B52" i="6"/>
  <c r="B25" i="6"/>
  <c r="B44" i="6"/>
  <c r="B1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<sst xmlns="http://schemas.openxmlformats.org/spreadsheetml/2006/main" count="1453" uniqueCount="574">
  <si>
    <t>ID</t>
  </si>
  <si>
    <t>BaseHP</t>
  </si>
  <si>
    <t>BaseATK</t>
  </si>
  <si>
    <t>BaseCritChance</t>
  </si>
  <si>
    <t>BaseCritMult</t>
  </si>
  <si>
    <t>BaseATKCoolDown</t>
  </si>
  <si>
    <t>BaseSkillCoolDown</t>
  </si>
  <si>
    <t>BaseATKRange</t>
  </si>
  <si>
    <t>BaseATKArea</t>
  </si>
  <si>
    <t>CH_1_001</t>
  </si>
  <si>
    <t>CH_1_002</t>
  </si>
  <si>
    <t>CH_1_003</t>
  </si>
  <si>
    <t>CH_1_004</t>
  </si>
  <si>
    <t>CH_1_005</t>
  </si>
  <si>
    <t>CH_1_006</t>
  </si>
  <si>
    <t>CH_1_007</t>
  </si>
  <si>
    <t>CH_1_008</t>
  </si>
  <si>
    <t>CH_1_009</t>
  </si>
  <si>
    <t>CH_1_010</t>
  </si>
  <si>
    <t>CH_1_011</t>
  </si>
  <si>
    <t>CH_1_012</t>
  </si>
  <si>
    <t>CH_1_013</t>
  </si>
  <si>
    <t>CH_1_014</t>
  </si>
  <si>
    <t>CH_1_015</t>
  </si>
  <si>
    <t>CH_1_016</t>
  </si>
  <si>
    <t>CH_1_017</t>
  </si>
  <si>
    <t>CH_1_018</t>
  </si>
  <si>
    <t>Name</t>
  </si>
  <si>
    <t>AttackType</t>
  </si>
  <si>
    <t>Class</t>
  </si>
  <si>
    <t>Rarity</t>
  </si>
  <si>
    <t>ActiveSkill1</t>
  </si>
  <si>
    <t>ActiveSkill2</t>
  </si>
  <si>
    <t>ActiveSkill3</t>
  </si>
  <si>
    <t>PassiveSkill</t>
  </si>
  <si>
    <t>LevelUpHP</t>
  </si>
  <si>
    <t>LevelUpATK</t>
  </si>
  <si>
    <t>Description</t>
  </si>
  <si>
    <t>No.1</t>
  </si>
  <si>
    <t>Melee</t>
  </si>
  <si>
    <t>Warrior</t>
  </si>
  <si>
    <t>Common</t>
  </si>
  <si>
    <t>테스트용 1호기 입니다. 전사 중에서도 전위를 담당하는 탱커 포지션입니다.</t>
  </si>
  <si>
    <t>No.2</t>
  </si>
  <si>
    <t>Ranged</t>
  </si>
  <si>
    <t>Archer</t>
  </si>
  <si>
    <t>Rare</t>
  </si>
  <si>
    <t>테스트용 2호기 입니다. 궁수 중에서도 꾸준한 딜을 넣는 딜러 포지션 입니다.</t>
  </si>
  <si>
    <t>No.3</t>
  </si>
  <si>
    <t>Magic</t>
  </si>
  <si>
    <t>Mage</t>
  </si>
  <si>
    <t>Epic</t>
  </si>
  <si>
    <t>테스트용 3호기 입니다. 마법사 중에서도 광역 딜을 넣는 광역 딜러 포지션 입니다.</t>
  </si>
  <si>
    <t>No.4</t>
  </si>
  <si>
    <t>Legendary</t>
  </si>
  <si>
    <t>테스트용 4호기 입니다. 마법사 중에서도 극한의 스킬 딜을 넣는 스킬 딜러 포지션 입니다.</t>
  </si>
  <si>
    <t>No.5</t>
  </si>
  <si>
    <t>Unique</t>
  </si>
  <si>
    <t>테스트용 5호기</t>
  </si>
  <si>
    <t>No.6</t>
  </si>
  <si>
    <t>테스트용 6호기</t>
  </si>
  <si>
    <t>No.7</t>
  </si>
  <si>
    <t>테스트용 7호기</t>
  </si>
  <si>
    <t>No.8</t>
  </si>
  <si>
    <t>테스트용 8호기</t>
  </si>
  <si>
    <t>No.9</t>
  </si>
  <si>
    <t>테스트용 9호기</t>
  </si>
  <si>
    <t>아린</t>
  </si>
  <si>
    <t>SK_1_001</t>
  </si>
  <si>
    <t>SK_1_002</t>
  </si>
  <si>
    <t>SK_2_007</t>
  </si>
  <si>
    <t>“오늘도 마족.. 이종족 녀석들 잔뜩 잡으러 가자!”</t>
  </si>
  <si>
    <t>세레나</t>
  </si>
  <si>
    <t>SK_2_001</t>
  </si>
  <si>
    <t>SK_2_006</t>
  </si>
  <si>
    <t>SK_2_003</t>
  </si>
  <si>
    <t>“당신은 저희 마을 사람들을 건드리지 않는다, 저는 당신을 위해 일한다. 그것뿐입니다.”</t>
  </si>
  <si>
    <t>아리엘</t>
  </si>
  <si>
    <t>SK_3_005</t>
  </si>
  <si>
    <t>SK_2_012</t>
  </si>
  <si>
    <t>SK_2_011</t>
  </si>
  <si>
    <t>“오늘도 자매님들의 마기를 열심히 정화해드려야겠어요”</t>
  </si>
  <si>
    <t>클로에</t>
  </si>
  <si>
    <t>Prod</t>
  </si>
  <si>
    <t>SK_1_004</t>
  </si>
  <si>
    <t>SK_1_005</t>
  </si>
  <si>
    <t>SK_1_006</t>
  </si>
  <si>
    <t>“하루에 5시간이나 잘 수 있다니, 정말 최고잖아!” “저기 저기, 이번엔 어떤 녀석들 잡아오면 돼!?”</t>
  </si>
  <si>
    <t>비비안</t>
  </si>
  <si>
    <t>SK_2_009</t>
  </si>
  <si>
    <t>SK_2_010</t>
  </si>
  <si>
    <t>SK_3_003</t>
  </si>
  <si>
    <t>“흐흥~ 너, 꽤나 좋은 재료가 되겠는걸?”</t>
  </si>
  <si>
    <t>시루</t>
  </si>
  <si>
    <t>SK_2_005</t>
  </si>
  <si>
    <t>SK_1_011</t>
  </si>
  <si>
    <t>“주인님! 오늘은 어디로 가는거야?” “주인님이 아니라 사장..님..? 시루는 그런 어려운 단어 몰라!”</t>
  </si>
  <si>
    <t>루루</t>
  </si>
  <si>
    <t>SK_2_008</t>
  </si>
  <si>
    <t>SK_1_003</t>
  </si>
  <si>
    <t>"저는 저의 신념을 지킬 뿐입니다."</t>
  </si>
  <si>
    <t>린느</t>
  </si>
  <si>
    <t>SK_2_002</t>
  </si>
  <si>
    <t>SK_1_010</t>
  </si>
  <si>
    <t>SK_3_002</t>
  </si>
  <si>
    <t>"..."</t>
  </si>
  <si>
    <t>에이린</t>
  </si>
  <si>
    <t>SK_1_007</t>
  </si>
  <si>
    <t>SK_1_008</t>
  </si>
  <si>
    <t>SK_3_004</t>
  </si>
  <si>
    <t>"왜 마법사인데 검을 들고다니냐고? 그게 더 멋있으니까~"</t>
  </si>
  <si>
    <t>Type</t>
  </si>
  <si>
    <t>IsPassive</t>
  </si>
  <si>
    <t>TriggerEvent</t>
  </si>
  <si>
    <t>CoolDown</t>
  </si>
  <si>
    <t>EffectData1</t>
  </si>
  <si>
    <t>EffectData2</t>
  </si>
  <si>
    <t>EffectData3</t>
  </si>
  <si>
    <t>EffectData4</t>
  </si>
  <si>
    <t>EffectData5</t>
  </si>
  <si>
    <t>강타</t>
  </si>
  <si>
    <t>Attack</t>
  </si>
  <si>
    <t>None</t>
  </si>
  <si>
    <t>Damage:Enemy:200:0:None</t>
  </si>
  <si>
    <t>Debuff:Enemy:0:30:Stun</t>
  </si>
  <si>
    <t>적 하나를 강하게 내리쳐 200% 피해를 주고, 30% 확률로 1초간 기절시킨다.</t>
  </si>
  <si>
    <t>방패 강타</t>
  </si>
  <si>
    <t>Damage:AllEnemies:150:0:None</t>
  </si>
  <si>
    <t>전방 2칸 이내의 모든 적에게 150% 피해, 1칸 밀쳐냄</t>
  </si>
  <si>
    <t>용사의 함성</t>
  </si>
  <si>
    <t>Support</t>
  </si>
  <si>
    <t>Buff:AllAllies:15:8:AtkUp</t>
  </si>
  <si>
    <t>아군 전체의 공격력 15% 증가 (8초 지속).</t>
  </si>
  <si>
    <t>스틸레토</t>
  </si>
  <si>
    <t>Damage:Enemy:180:0:None</t>
  </si>
  <si>
    <t>Damage:Enemy:120:0:None</t>
  </si>
  <si>
    <t>1칸 거리의 적에게 180% 피해, 체력이 20% 이하일 경우 300% 피해.</t>
  </si>
  <si>
    <t>그림자 일격</t>
  </si>
  <si>
    <t>Damage:AllEnemies:200:0:None</t>
  </si>
  <si>
    <t>2칸 거리까지의 적에게 200% 피해, 3초간 치명타 저항 15% 감소.</t>
  </si>
  <si>
    <t>블레이드 러시</t>
  </si>
  <si>
    <t>전방 3칸 내 적에게 150% 피해, 1초간 이동 불가 부여.</t>
  </si>
  <si>
    <t>화염 폭발</t>
  </si>
  <si>
    <t>응축된 화염 에너지를 한순간에 폭발시켜 200% 피해를 준다</t>
  </si>
  <si>
    <t>화염 분출</t>
  </si>
  <si>
    <t>Damage:AllEnemies:180:0:None</t>
  </si>
  <si>
    <t>땅속의 마력을 폭발시켜 다수의 화염 기둥을 분출시켜 180% 피해를 준다</t>
  </si>
  <si>
    <t>SK_1_009</t>
  </si>
  <si>
    <t>빙결</t>
  </si>
  <si>
    <t>적을 차가운 냉기로 얼려 120% 데미지를 준다.</t>
  </si>
  <si>
    <t>절대영도</t>
  </si>
  <si>
    <t>Damage:Enemy:150:0:None</t>
  </si>
  <si>
    <t>광역 범위 내 모든 적에게 150% 냉기 피해</t>
  </si>
  <si>
    <t>맹공</t>
  </si>
  <si>
    <t>자신의 체력이 50% 이하일 때, 피해량 2배.</t>
  </si>
  <si>
    <t>신속 사격</t>
  </si>
  <si>
    <t>4칸 이내의 적 하나에게 120% 피해, 치명타 발생 시 쿨타임 1초 감소.</t>
  </si>
  <si>
    <t>관통 사격</t>
  </si>
  <si>
    <t>Debuff:Enemy:10:5:AtkDown</t>
  </si>
  <si>
    <t>직선 4칸 범위의 모든 적에게 200% 피해, 3초간 공격력 10% 감소.</t>
  </si>
  <si>
    <t>다중 화살</t>
  </si>
  <si>
    <t>Damage:AllEnemies:250:0:None</t>
  </si>
  <si>
    <t>4칸 내의 모든 적에게 총 250% 피해.</t>
  </si>
  <si>
    <t>SK_2_004</t>
  </si>
  <si>
    <t>독수리의 집중</t>
  </si>
  <si>
    <t>Buff:AllAllies:15:6:CritChanceUp</t>
  </si>
  <si>
    <t>Buff:AllAllies:20:6:AtkSpeedUp</t>
  </si>
  <si>
    <t>아군 전체의 치명타 확률 15%, 공격 속도 20% 증가 (6초).</t>
  </si>
  <si>
    <t>광전사의 외침</t>
  </si>
  <si>
    <t>Utility</t>
  </si>
  <si>
    <t>Buff:Self:40:6:AtkSpeedUp</t>
  </si>
  <si>
    <t>분노를 폭발시켜 6초 동안 공격속도 40% 증가, 방어력 20% 감소.</t>
  </si>
  <si>
    <t>집중</t>
  </si>
  <si>
    <t>정신을 집중해 8초간 치명타 확률 +30%, 스킬 쿨타임 감소 +20%.</t>
  </si>
  <si>
    <t>용기의 함성</t>
  </si>
  <si>
    <t>Buff:AllAllies:15:6:AtkUp</t>
  </si>
  <si>
    <t>아군 전체의 공격력과 방어력을 15% 상승시킨다.</t>
  </si>
  <si>
    <t>신성한 보호</t>
  </si>
  <si>
    <t>아군 전체에게 6초간 피해 감소 20% 효과를 부여한다.</t>
  </si>
  <si>
    <t>속박의 사슬</t>
  </si>
  <si>
    <t>Debuff:Enemy:30:5:AtkDown</t>
  </si>
  <si>
    <t>공격속도를 30% 감소시킨다.</t>
  </si>
  <si>
    <t>어둠의 저주</t>
  </si>
  <si>
    <t>Debuff:AllEnemies:20:5:AtkDown</t>
  </si>
  <si>
    <t>적 전체의 공격력 -20%, 방어력 -20%.</t>
  </si>
  <si>
    <t>축복의 바람</t>
  </si>
  <si>
    <t>Buff:Ally:25:5:AtkSpeedUp</t>
  </si>
  <si>
    <t>무작위 아군 1명의 공격속도를 5초간 25% 증가시킨다.</t>
  </si>
  <si>
    <t>회복의 빛</t>
  </si>
  <si>
    <t>Buff:Ally:50:0:HP</t>
  </si>
  <si>
    <t>무작위 아군 1명을 치유하고 5초간 방어력 20% 증가.</t>
  </si>
  <si>
    <t>SK_3_001</t>
  </si>
  <si>
    <t>화염의 장벽</t>
  </si>
  <si>
    <t>전방 3칸 범위에 불길을 생성, 4초간 매초 60% 피해.</t>
  </si>
  <si>
    <t>서리 화살</t>
  </si>
  <si>
    <t>Debuff:Enemy:15:3:AtkDown</t>
  </si>
  <si>
    <t>단일 적에게 200% 피해, 3초간 공격력 15% 감소 디버프</t>
  </si>
  <si>
    <t>비전 폭발</t>
  </si>
  <si>
    <t>전방 2칸 범위 적에게 220% 피해, 1초 기절.</t>
  </si>
  <si>
    <t>메테오 폴</t>
  </si>
  <si>
    <t>하늘에서 거대한 유성을 소환하여 넓은 범위의 적들에게 막대한 피해를 준다.</t>
  </si>
  <si>
    <t>비전 보호막</t>
  </si>
  <si>
    <t>Damage:AllAllies:250:0:None</t>
  </si>
  <si>
    <t>아군 전체에게 최대 체력의 30% 보호막 (5초).</t>
  </si>
  <si>
    <t>BaseMoveSpeed</t>
  </si>
  <si>
    <t>EN_01_101</t>
  </si>
  <si>
    <t>EN_01_102</t>
  </si>
  <si>
    <t>EN_01_201</t>
  </si>
  <si>
    <t>EN_01_301</t>
  </si>
  <si>
    <t>EN_02_101</t>
  </si>
  <si>
    <t>EN_02_102</t>
  </si>
  <si>
    <t>EN_02_201</t>
  </si>
  <si>
    <t>EN_02_301</t>
  </si>
  <si>
    <t>EN_03_101</t>
  </si>
  <si>
    <t>EN_03_102</t>
  </si>
  <si>
    <t>EN_03_201</t>
  </si>
  <si>
    <t>EN_03_301</t>
  </si>
  <si>
    <t>EnemyRankID</t>
  </si>
  <si>
    <t>ID 명명규칙</t>
  </si>
  <si>
    <t>고블린</t>
  </si>
  <si>
    <t>Normal</t>
  </si>
  <si>
    <t>평범한 고블린입니다.</t>
  </si>
  <si>
    <t>EN_(스테이지)_(타입코드)(넘버링)</t>
  </si>
  <si>
    <t>고블린 궁수</t>
  </si>
  <si>
    <t>고블린이 활을 주워서 사용하고있습니다.</t>
  </si>
  <si>
    <t>스테이지는 2자릿수까지 상정, 01부터 시작</t>
  </si>
  <si>
    <t>홉 고블린</t>
  </si>
  <si>
    <t>고블린의 진화체이자 변종입니다. 평범한 인간과 비슷한 무력을 가지고 있습니다.</t>
  </si>
  <si>
    <t>타입코드는 일반몹~보스몹을 뜻함, 1~3</t>
  </si>
  <si>
    <t>고블린 킹</t>
  </si>
  <si>
    <t>Boss</t>
  </si>
  <si>
    <t>고블린들을 통솔하는 왕입니다. 강력합니다.</t>
  </si>
  <si>
    <t>넘버링은 01부터 시작, 다음 스테이지라면 다시 01부터 시작</t>
  </si>
  <si>
    <t>코볼트</t>
  </si>
  <si>
    <t>파충류와 쥐를 섞어놓은 외형입니다.</t>
  </si>
  <si>
    <t>코볼트 전사</t>
  </si>
  <si>
    <t>기본적으로 근력이 약해 검사를 하지 못하지만 수련끝에 검사가 된 코볼트입니다.</t>
  </si>
  <si>
    <t>코볼트 백인장</t>
  </si>
  <si>
    <t>코볼트 전사 중에서도 강한자가 얻을수있는 백인장의 칭호를 받은 강력한 코볼트입니다.</t>
  </si>
  <si>
    <t>코볼트 대장</t>
  </si>
  <si>
    <t>코볼트들 중 가장 강한 개체입니다. 무리를 통솔하고 지휘합니다.</t>
  </si>
  <si>
    <t>왜소한 랫맨</t>
  </si>
  <si>
    <t>평범한 랫맨</t>
  </si>
  <si>
    <t>화난 랫맨</t>
  </si>
  <si>
    <t>트위지</t>
  </si>
  <si>
    <t>Sprite</t>
  </si>
  <si>
    <t>TargetType</t>
  </si>
  <si>
    <t>TargetClass</t>
  </si>
  <si>
    <t>TargetID</t>
  </si>
  <si>
    <t>EffectType</t>
  </si>
  <si>
    <t>EffectValue</t>
  </si>
  <si>
    <t>직업 영어 =&gt; 한글 변환</t>
  </si>
  <si>
    <t>RN_C_W_001</t>
  </si>
  <si>
    <t>Atk</t>
  </si>
  <si>
    <t>RN_C_W_002</t>
  </si>
  <si>
    <t>HP</t>
  </si>
  <si>
    <t>RN_C_A_001</t>
  </si>
  <si>
    <t>RN_C_A_002</t>
  </si>
  <si>
    <t>RN_C_M_001</t>
  </si>
  <si>
    <t>RN_R_W_001</t>
  </si>
  <si>
    <t>RN_R_W_002</t>
  </si>
  <si>
    <t>RN_R_A_001</t>
  </si>
  <si>
    <t>RN_R_A_002</t>
  </si>
  <si>
    <t>RN_R_M_001</t>
  </si>
  <si>
    <t>RN_R_M_002</t>
  </si>
  <si>
    <t>RN_E_W_001</t>
  </si>
  <si>
    <t>RN_E_W_002</t>
  </si>
  <si>
    <t>RN_E_W_003</t>
  </si>
  <si>
    <t>Crit_Chance</t>
  </si>
  <si>
    <t>RN_E_W_004</t>
  </si>
  <si>
    <t>Crit_Mult</t>
  </si>
  <si>
    <t>RN_E_W_005</t>
  </si>
  <si>
    <t>Atk_Cooldown</t>
  </si>
  <si>
    <t>RN_E_W_006</t>
  </si>
  <si>
    <t>Skill_Cooldown</t>
  </si>
  <si>
    <t>RN_E_A_001</t>
  </si>
  <si>
    <t>RN_E_A_002</t>
  </si>
  <si>
    <t>RN_E_A_003</t>
  </si>
  <si>
    <t>RN_E_A_004</t>
  </si>
  <si>
    <t>RN_E_A_005</t>
  </si>
  <si>
    <t>RN_E_A_006</t>
  </si>
  <si>
    <t>RN_E_M_001</t>
  </si>
  <si>
    <t>RN_E_M_002</t>
  </si>
  <si>
    <t>RN_E_M_003</t>
  </si>
  <si>
    <t>RN_E_M_004</t>
  </si>
  <si>
    <t>RN_E_M_005</t>
  </si>
  <si>
    <t>RN_E_M_006</t>
  </si>
  <si>
    <t>RN_L_W_001</t>
  </si>
  <si>
    <t>RN_L_W_002</t>
  </si>
  <si>
    <t>RN_L_W_003</t>
  </si>
  <si>
    <t>RN_L_W_004</t>
  </si>
  <si>
    <t>RN_L_W_005</t>
  </si>
  <si>
    <t>RN_L_W_006</t>
  </si>
  <si>
    <t>RN_L_A_001</t>
  </si>
  <si>
    <t>RN_L_A_002</t>
  </si>
  <si>
    <t>RN_L_A_003</t>
  </si>
  <si>
    <t>RN_L_A_004</t>
  </si>
  <si>
    <t>RN_L_A_005</t>
  </si>
  <si>
    <t>RN_L_A_006</t>
  </si>
  <si>
    <t>RN_L_M_001</t>
  </si>
  <si>
    <t>RN_L_M_002</t>
  </si>
  <si>
    <t>RN_L_M_003</t>
  </si>
  <si>
    <t>RN_L_M_004</t>
  </si>
  <si>
    <t>RN_L_M_005</t>
  </si>
  <si>
    <t>RN_L_M_006</t>
  </si>
  <si>
    <t>RN_U_G_001</t>
  </si>
  <si>
    <t>Global</t>
  </si>
  <si>
    <t>전체 공격력 증가</t>
  </si>
  <si>
    <t>RN_U_G_002</t>
  </si>
  <si>
    <t>전체 생명력 상승</t>
  </si>
  <si>
    <t>RN_U_Q_001</t>
  </si>
  <si>
    <t>RN_U_Q_002</t>
  </si>
  <si>
    <t>RN_U_W_101</t>
  </si>
  <si>
    <t>미완</t>
  </si>
  <si>
    <t>Character</t>
  </si>
  <si>
    <t>5초마다 체력 5% 회복</t>
  </si>
  <si>
    <t>RN_U_A_101</t>
  </si>
  <si>
    <t>같은 대상을 공격할 때마다 해당 대상에 대한 피해량 증폭</t>
  </si>
  <si>
    <t>RN_U_M_101</t>
  </si>
  <si>
    <t>스킬을 지속형으로 전환</t>
  </si>
  <si>
    <t>RN_U_M_201</t>
  </si>
  <si>
    <t>스킬 시전 시 50% 확률로 쿨타임 초기화</t>
  </si>
  <si>
    <t>EffectName</t>
  </si>
  <si>
    <t>Value</t>
  </si>
  <si>
    <t>StatType</t>
  </si>
  <si>
    <t>AR_C_G_001</t>
  </si>
  <si>
    <t>황동 단검</t>
  </si>
  <si>
    <t>StatBoost</t>
  </si>
  <si>
    <t>AR_C_G_002</t>
  </si>
  <si>
    <t>생명의 구슬</t>
  </si>
  <si>
    <t>AR_C_G_003</t>
  </si>
  <si>
    <t>자수정 반지</t>
  </si>
  <si>
    <t>AR_C_G_004</t>
  </si>
  <si>
    <t>녹슨 창날</t>
  </si>
  <si>
    <t>AR_C_G_005</t>
  </si>
  <si>
    <t>신속의 장화</t>
  </si>
  <si>
    <t>MoveSpeed</t>
  </si>
  <si>
    <t>AR_C_G_006</t>
  </si>
  <si>
    <t>그믐달 단검</t>
  </si>
  <si>
    <t>AR_C_G_007</t>
  </si>
  <si>
    <t>오각수의 뿔</t>
  </si>
  <si>
    <t>AR_C_G_008</t>
  </si>
  <si>
    <t>벼락나무 가지</t>
  </si>
  <si>
    <t>AR_C_G_009</t>
  </si>
  <si>
    <t>녹조석</t>
  </si>
  <si>
    <t>AR_C_G_010</t>
  </si>
  <si>
    <t>바람나무 지팡이</t>
  </si>
  <si>
    <t>AR_R_G_008</t>
  </si>
  <si>
    <t>칼날벌레의 우상</t>
  </si>
  <si>
    <t>FinishDamage</t>
  </si>
  <si>
    <t>AR_N_G_001</t>
  </si>
  <si>
    <t>AR_N_G_002</t>
  </si>
  <si>
    <t>AR_N_G_003</t>
  </si>
  <si>
    <t>유리 대포</t>
  </si>
  <si>
    <t>GlassCannon</t>
  </si>
  <si>
    <t>AR_N_G_004</t>
  </si>
  <si>
    <t>유리 방패</t>
  </si>
  <si>
    <t>GlassShield</t>
  </si>
  <si>
    <t>AR_N_G_005</t>
  </si>
  <si>
    <t>생명 회복</t>
  </si>
  <si>
    <t>HpRegen</t>
  </si>
  <si>
    <t>AR_R_G_003</t>
  </si>
  <si>
    <t>청록색 수정</t>
  </si>
  <si>
    <t>Row1HPBoost</t>
  </si>
  <si>
    <t>AR_R_G_005</t>
  </si>
  <si>
    <t>수호의 나무 방패</t>
  </si>
  <si>
    <t>Row234HPBoost</t>
  </si>
  <si>
    <t>AR_E_G_010</t>
  </si>
  <si>
    <t>뼈이빨 목걸이</t>
  </si>
  <si>
    <t>CritOnFullHP</t>
  </si>
  <si>
    <t>AR_E_G_003</t>
  </si>
  <si>
    <t>흡혈귀의 찻잔</t>
  </si>
  <si>
    <t>LifeSteal</t>
  </si>
  <si>
    <t>AR_E_G_006</t>
  </si>
  <si>
    <t>태양의 문장</t>
  </si>
  <si>
    <t>ThornArmor</t>
  </si>
  <si>
    <t>AR_E_G_001</t>
  </si>
  <si>
    <t>예언의 양피지</t>
  </si>
  <si>
    <t>DistanceMaxHP</t>
  </si>
  <si>
    <t>AR_E_G_005</t>
  </si>
  <si>
    <t>영사의 보주</t>
  </si>
  <si>
    <t>TeamHealOnKill</t>
  </si>
  <si>
    <t>AR_E_G_002</t>
  </si>
  <si>
    <t>자수정 연꽃</t>
  </si>
  <si>
    <t>ResetSkill</t>
  </si>
  <si>
    <t>AR_L_G_002</t>
  </si>
  <si>
    <t>용의 심장</t>
  </si>
  <si>
    <t>BerserkerRage</t>
  </si>
  <si>
    <t>AR_L_G_003</t>
  </si>
  <si>
    <t>의식용 단검</t>
  </si>
  <si>
    <t>KillBossSpeedBoost</t>
  </si>
  <si>
    <t>AR_L_G_004</t>
  </si>
  <si>
    <t>공허의 껍질</t>
  </si>
  <si>
    <t>LuckyStrike</t>
  </si>
  <si>
    <t>AR_L_G_005</t>
  </si>
  <si>
    <t>수호의 방패</t>
  </si>
  <si>
    <t>RegenShield</t>
  </si>
  <si>
    <t>AR_L_G_001</t>
  </si>
  <si>
    <t>불사조의 깃털</t>
  </si>
  <si>
    <t>AR_L_W_002</t>
  </si>
  <si>
    <t>AR_L_A_001</t>
  </si>
  <si>
    <t>AR_L_M_001</t>
  </si>
  <si>
    <t>AR_U_W_001</t>
  </si>
  <si>
    <t>용기의 징표</t>
  </si>
  <si>
    <t>Dmg_Mult</t>
  </si>
  <si>
    <t>AR_U_A_001</t>
  </si>
  <si>
    <t>숲 지킴이의 펜던트</t>
  </si>
  <si>
    <t>AR_U_M_001</t>
  </si>
  <si>
    <t>비전의 핵</t>
  </si>
  <si>
    <t>AR_L_G_009</t>
  </si>
  <si>
    <t>트라이포스 A</t>
  </si>
  <si>
    <t>AR_L_G_010</t>
  </si>
  <si>
    <t>트라이포스 B</t>
  </si>
  <si>
    <t>AR_L_G_011</t>
  </si>
  <si>
    <t>트라이포스 C</t>
  </si>
  <si>
    <t>AR_U_G_001</t>
  </si>
  <si>
    <t>이계의 별 조각</t>
  </si>
  <si>
    <t>AR_U_G_002</t>
  </si>
  <si>
    <t>고대 룬 피라미드</t>
  </si>
  <si>
    <t>AR_U_G_003</t>
  </si>
  <si>
    <t>탐사자의 나침반</t>
  </si>
  <si>
    <t>중간보스, 보스 처치시 50% 확률로 유물함을 1개 더 획득한다.</t>
  </si>
  <si>
    <t>AR_U_G_004</t>
  </si>
  <si>
    <t>붉은 보석</t>
  </si>
  <si>
    <t>AR_R_G_001</t>
  </si>
  <si>
    <t>대문의 방패</t>
  </si>
  <si>
    <t>AR_R_G_002</t>
  </si>
  <si>
    <t>부두 인형</t>
  </si>
  <si>
    <t>적 처치 시 시체가 (N x A)% 확률로 폭발하여 해당 마지막 공격이 가한 피해량의 (N x B)%만큼 주변에 피해를 입힌다.</t>
  </si>
  <si>
    <t>AR_R_G_004</t>
  </si>
  <si>
    <t>비늘 부적</t>
  </si>
  <si>
    <t>피격 시 일정 확률로 Block한다.</t>
  </si>
  <si>
    <t>AR_R_G_006</t>
  </si>
  <si>
    <t>인주석 귀걸이</t>
  </si>
  <si>
    <t>10초마다 10초간 지속되는 공격력 A%의 보호막을 획득한다.</t>
  </si>
  <si>
    <t>AR_R_G_007</t>
  </si>
  <si>
    <t>좋은 꿈 우상</t>
  </si>
  <si>
    <t>AR_E_G_004</t>
  </si>
  <si>
    <t>해골 촛대</t>
  </si>
  <si>
    <t>파티가 입은 피해량 (N x A)%에 비례해 (발동될 때마다 초기화) 10초마다 5거리까지 광역 공격하는 능력 획득</t>
  </si>
  <si>
    <t>AR_E_G_007</t>
  </si>
  <si>
    <t>사파이어 가면</t>
  </si>
  <si>
    <t>AR_E_G_008</t>
  </si>
  <si>
    <t>푸른 천사상</t>
  </si>
  <si>
    <t>파티가 (A - N x B) 초마다 1회의 Guard 획득한다.</t>
  </si>
  <si>
    <t>AR_E_G_009</t>
  </si>
  <si>
    <t>청금석 방패</t>
  </si>
  <si>
    <t>받는 피해를 모든 파티원에게 균등하게 분배한다.</t>
  </si>
  <si>
    <t>AR_E_W_001</t>
  </si>
  <si>
    <t>마력 방패</t>
  </si>
  <si>
    <t>전사 클래스가 피격 시 A% 확률로 5초간 지속되는 보호막(체력 N * B%)을 획득한다.</t>
  </si>
  <si>
    <t>AR_E_A_001</t>
  </si>
  <si>
    <t>사냥의 탈리스만</t>
  </si>
  <si>
    <t>AR_E_M_001</t>
  </si>
  <si>
    <t>악마의 마법서</t>
  </si>
  <si>
    <t>죽어있는 캐릭터가 10초마다 A% 확률로 체력 30% 상태로 부활한다.</t>
  </si>
  <si>
    <t>파티 전체에 (N x A)초마다 Guard상태가 1회 부여된다.</t>
  </si>
  <si>
    <t>AR_L_G_006</t>
  </si>
  <si>
    <t>겨울 보주</t>
  </si>
  <si>
    <t>피격 시 (N x A)% 확률로 Block한다.</t>
  </si>
  <si>
    <t>AR_L_G_007</t>
  </si>
  <si>
    <t>보물지도</t>
  </si>
  <si>
    <t>획득할 때마다 (N x A)% 확률로 유일등급 유물을 랜덤하게 얻게 되는 유물 / 성공할 경우 이 유물을 획득했던 개수의 B%만큼 상급 유물함으로 돌려받는다.</t>
  </si>
  <si>
    <t>AR_L_G_008</t>
  </si>
  <si>
    <t>불안정한 오브</t>
  </si>
  <si>
    <t>매 5초마다 파티가 현재 생명력의 (N x A)%를 잃는 대신, 피해량이 (N x B)%상승한다.</t>
  </si>
  <si>
    <t>AR_L_G_012</t>
  </si>
  <si>
    <t>성배</t>
  </si>
  <si>
    <t>AR_L_G_013</t>
  </si>
  <si>
    <t>신록의 수정</t>
  </si>
  <si>
    <t>초과된 회복량의 A%가 5초간 지속되는 보호막으로 전환된다.</t>
  </si>
  <si>
    <t>AR_L_G_014</t>
  </si>
  <si>
    <t>마도공학 조작기</t>
  </si>
  <si>
    <t>파티가 멀리있는 대상부터 공격하도록 공격 우선순위를 변경한다.</t>
  </si>
  <si>
    <t>AR_L_W_001</t>
  </si>
  <si>
    <t>청금석 목걸이</t>
  </si>
  <si>
    <t>전사 클래스가 피격당할 때 A% 확률로 반격한다.</t>
  </si>
  <si>
    <t>AR_U_G_005</t>
  </si>
  <si>
    <t>신비한 보랏빛 목걸이</t>
  </si>
  <si>
    <t>보호막이 존재할 경우, 체력이 줄어들지 않게 된다.</t>
  </si>
  <si>
    <t>requirement</t>
  </si>
  <si>
    <t>duration</t>
  </si>
  <si>
    <t>upgradeCost</t>
  </si>
  <si>
    <t>reward</t>
  </si>
  <si>
    <t>upgradeMult</t>
  </si>
  <si>
    <t>rewardMult</t>
  </si>
  <si>
    <t>QU_001</t>
  </si>
  <si>
    <t>마을 순찰</t>
  </si>
  <si>
    <t>test</t>
  </si>
  <si>
    <t>QU_002</t>
  </si>
  <si>
    <t>열매 채집</t>
  </si>
  <si>
    <t>QU_003</t>
  </si>
  <si>
    <t>광석 채굴</t>
  </si>
  <si>
    <t>QU_004</t>
  </si>
  <si>
    <t>하수구 청소</t>
  </si>
  <si>
    <t>QU_005</t>
  </si>
  <si>
    <t>투기장 운영</t>
  </si>
  <si>
    <t>QU_006</t>
  </si>
  <si>
    <t>무구 제작</t>
  </si>
  <si>
    <t>QU_007</t>
  </si>
  <si>
    <t>목재 가공</t>
  </si>
  <si>
    <t>QU_008</t>
  </si>
  <si>
    <t>버섯 재배</t>
  </si>
  <si>
    <t>QU_009</t>
  </si>
  <si>
    <t>녹용 제작</t>
  </si>
  <si>
    <t>트라이포스 유물 보유량에 따라 피해량이 증가합니다.한다. 현재 보유량 : N 개 (A%, B%, C%)</t>
  </si>
  <si>
    <t>최종 생명력, 최종 피해량이 50%가 되는 대신 게임의 속도가 2배로 증가합니다.한다.</t>
  </si>
  <si>
    <t>가하는 피해량이 (N x A)% 증가합니다.하는 대신 , 받는 피해량이 (N x B)% 증가합니다.한다.</t>
  </si>
  <si>
    <t>잃은 체력 비율 (N x A)%마다 피해량이 (N x B)% 증가합니다.한다.</t>
  </si>
  <si>
    <t>보스 처치시 5초동안 이동속도가 A% 증가합니다.한다.</t>
  </si>
  <si>
    <t>공격 시 (N x A)% 확률로 피해량이 900% 증가합니다.한다.</t>
  </si>
  <si>
    <t>A 세트유물 1 - 해당 세트 유물 보유량에 따라 피해량 증가합니다. (20%, 80%, 240% 이런 식으로 배율이 달라짐)</t>
  </si>
  <si>
    <t>A 세트유물 2 - 해당 세트 유물 보유량에 따라 피해량 증가합니다. (20%, 80%, 240% 이런 식으로 배율이 달라짐)</t>
  </si>
  <si>
    <t>A 세트유물 3 - 해당 세트 유물 보유량에 따라 피해량 증가합니다. (20%, 80%, 240% 이런 식으로 배율이 달라짐)</t>
  </si>
  <si>
    <t>회복량이 (N x A)% 증가합니다.한다.</t>
  </si>
  <si>
    <t>적들의 체력이 50% 감소합니다.한다.</t>
  </si>
  <si>
    <t>강화 비용이 50% 감소합니다.한다.</t>
  </si>
  <si>
    <t>캐릭터 중 한 명의 체력이 40% 이하로 떨어졌을 경우 보스를 제외한 근처의 몬스터들을 5 거리까지 밀쳐낸다. (쿨타임이 (A - N x B)초)</t>
  </si>
  <si>
    <t>공격 시(일반 공격, 스킬, 반격 모두 적용) N x A%의 확률로 최대체력의 B%를 회복한다. (쿨타임이 C초)</t>
  </si>
  <si>
    <t>매 (A - N)회의(보유 수에 따라 변동) 일반 공격마다 일반 공격 쿨타임이가 초기화된다.</t>
  </si>
  <si>
    <t>궁수 클래스가 일반 공격시 (N x A)% 확률로 일반 공격 쿨타임이가 초기화된다.</t>
  </si>
  <si>
    <t>(A - N x B)초마다 마법사 캐릭터 중 한 명의 스킬 쿨타임이를 초기화한다.</t>
  </si>
  <si>
    <r>
      <rPr>
        <sz val="10"/>
        <color theme="1"/>
        <rFont val="맑은 고딕"/>
        <family val="3"/>
        <charset val="129"/>
      </rPr>
      <t>공격 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대상의 체력이 최대치일 경우 치명타 확률이 100%로 증가합니다.</t>
    </r>
    <phoneticPr fontId="7" type="noConversion"/>
  </si>
  <si>
    <t>과부하된 마력회로</t>
    <phoneticPr fontId="7" type="noConversion"/>
  </si>
  <si>
    <t>숫돌 칼날</t>
    <phoneticPr fontId="7" type="noConversion"/>
  </si>
  <si>
    <r>
      <rPr>
        <sz val="10"/>
        <color theme="1"/>
        <rFont val="맑은 고딕"/>
        <family val="3"/>
        <charset val="129"/>
      </rPr>
      <t>기이한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우상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전사)</t>
    </r>
    <phoneticPr fontId="7" type="noConversion"/>
  </si>
  <si>
    <r>
      <rPr>
        <sz val="10"/>
        <color theme="1"/>
        <rFont val="맑은 고딕"/>
        <family val="3"/>
        <charset val="129"/>
      </rPr>
      <t>기이한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우상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궁수)</t>
    </r>
    <phoneticPr fontId="7" type="noConversion"/>
  </si>
  <si>
    <r>
      <rPr>
        <sz val="10"/>
        <color theme="1"/>
        <rFont val="맑은 고딕"/>
        <family val="3"/>
        <charset val="129"/>
      </rPr>
      <t>기이한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우상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마법사)</t>
    </r>
    <phoneticPr fontId="7" type="noConversion"/>
  </si>
  <si>
    <t>EnemySizeID</t>
  </si>
  <si>
    <t>Small</t>
  </si>
  <si>
    <t>MiddleBoss</t>
  </si>
  <si>
    <t>Medium</t>
  </si>
  <si>
    <t>랫맨들 중 가장 약한 개체입니다. 도태되어보입니다.</t>
  </si>
  <si>
    <t>평범한 강함을 가진 랫맨입니다.</t>
  </si>
  <si>
    <t>자신들의 거주지에 침입한 사람들에게 화가 나 전투력이 상승한 랫맨입니다.</t>
  </si>
  <si>
    <t>랫맨들의 왕, 트위지입니다. 어느날 하수도에 떠내려 온 석궁을 주워서, 사용하는 법을 익혔고 그는 랫맨들의 왕이 되었습니다.</t>
  </si>
  <si>
    <t>EN_04_101</t>
  </si>
  <si>
    <t>오크 전사</t>
  </si>
  <si>
    <t>Large</t>
  </si>
  <si>
    <t>인간보다 거대한 덩치를 지닌 오크 전사입니다. 짙은 초록 피부가 특징입니다.</t>
  </si>
  <si>
    <t>EN_04_102</t>
  </si>
  <si>
    <t>오크 주술사</t>
  </si>
  <si>
    <t>오크족의 주술을 사용하는 주술사입니다.</t>
  </si>
  <si>
    <t>EN_04_201</t>
  </si>
  <si>
    <t>오크 챔피언</t>
  </si>
  <si>
    <t>전투민족인 오크들 중 가장 강한 자들입니다. 피부의 상처는 그들의 명예이자 훈장입니다.</t>
  </si>
  <si>
    <t>EN_04_301</t>
  </si>
  <si>
    <t>가로슘</t>
  </si>
  <si>
    <t>다른 오크들과 달리 빨간 피부를 타고난 가로슘은 오크족 전설로 내려오는 신화의 주인공입니다.</t>
  </si>
  <si>
    <t>EN_05_101</t>
  </si>
  <si>
    <t>검을 든 드워프</t>
  </si>
  <si>
    <t>대장장이 일족인 드워프입니다. 단조하고 있던 검을 들고 급하게 나왔습니다.</t>
  </si>
  <si>
    <t>EN_05_102</t>
  </si>
  <si>
    <t>여성 드워프</t>
  </si>
  <si>
    <t>드워프는 여성들도 힘이 강해 전투원으로서 활약하곤합니다.</t>
  </si>
  <si>
    <t>EN_05_201</t>
  </si>
  <si>
    <t>거대한 도끼를 든 드워프</t>
  </si>
  <si>
    <t>자신의 주 무장인 도끼를 들고 온 드워프입니다.</t>
  </si>
  <si>
    <t>EN_05_301</t>
  </si>
  <si>
    <t>샘리</t>
  </si>
  <si>
    <t>드워프들의 왕인 샘리는 수백년 드워프 역사 중 가장 성군이자 강인한 자로 불리는 인물입니다. 그의 망치 크기는 그의 신장의 4배는 되어보입니다.</t>
  </si>
  <si>
    <t>Global</t>
    <phoneticPr fontId="7" type="noConversion"/>
  </si>
  <si>
    <t>None</t>
    <phoneticPr fontId="7" type="noConversion"/>
  </si>
  <si>
    <t>Labor_Gold</t>
    <phoneticPr fontId="7" type="noConversion"/>
  </si>
  <si>
    <t>Hunt_Gold</t>
    <phoneticPr fontId="7" type="noConversion"/>
  </si>
  <si>
    <t>RN_C_M_002</t>
    <phoneticPr fontId="7" type="noConversion"/>
  </si>
  <si>
    <t>RN_C_G_001</t>
    <phoneticPr fontId="7" type="noConversion"/>
  </si>
  <si>
    <t>RN_C_G_002</t>
  </si>
  <si>
    <t>RN_L_G_001</t>
    <phoneticPr fontId="7" type="noConversion"/>
  </si>
  <si>
    <t>RN_L_G_002</t>
    <phoneticPr fontId="7" type="noConversion"/>
  </si>
  <si>
    <t>RN_E_G_001</t>
    <phoneticPr fontId="7" type="noConversion"/>
  </si>
  <si>
    <t>RN_E_G_002</t>
    <phoneticPr fontId="7" type="noConversion"/>
  </si>
  <si>
    <t>RN_R_G_001</t>
    <phoneticPr fontId="7" type="noConversion"/>
  </si>
  <si>
    <t>RN_R_G_002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</si>
</sst>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0"/>
      <color theme="1"/>
      <name val="Malgun Gothic"/>
      <family val="3"/>
      <charset val="129"/>
    </font>
    <font>
      <sz val="11"/>
      <color rgb="FF000000"/>
      <name val="&quot;Malgun Gothic&quot;"/>
    </font>
    <font>
      <sz val="11"/>
      <color theme="1"/>
      <name val="Calibri"/>
      <family val="2"/>
      <scheme val="minor"/>
    </font>
    <font>
      <sz val="11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2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  <font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8EAADB"/>
        <bgColor rgb="FF8EAADB"/>
      </patternFill>
    </fill>
    <fill>
      <patternFill patternType="solid">
        <fgColor rgb="FFC59FF7"/>
        <bgColor rgb="FFC59FF7"/>
      </patternFill>
    </fill>
    <fill>
      <patternFill patternType="solid">
        <fgColor rgb="FFFFD965"/>
        <bgColor rgb="FFFFD965"/>
      </patternFill>
    </fill>
    <fill>
      <patternFill patternType="solid">
        <fgColor rgb="FFFF9999"/>
        <bgColor rgb="FFFF9999"/>
      </patternFill>
    </fill>
    <fill>
      <patternFill patternType="solid">
        <fgColor rgb="FFB4C6E7"/>
        <bgColor rgb="FFB4C6E7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wrapText="1"/>
    </xf>
    <xf numFmtId="0" fontId="5" fillId="9" borderId="1" xfId="0" applyFont="1" applyFill="1" applyBorder="1" applyAlignment="1">
      <alignment wrapText="1"/>
    </xf>
    <xf numFmtId="0" fontId="4" fillId="9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8" fillId="0" borderId="2" xfId="0" applyFont="1" applyBorder="1" applyAlignment="1">
      <alignment horizontal="right" wrapText="1"/>
    </xf>
    <xf numFmtId="0" fontId="11" fillId="8" borderId="1" xfId="0" applyFont="1" applyFill="1" applyBorder="1" applyAlignment="1">
      <alignment wrapText="1"/>
    </xf>
    <xf numFmtId="0" fontId="11" fillId="9" borderId="1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12" fillId="0" borderId="0" xfId="0" applyFont="1" applyAlignment="1">
      <alignment vertical="center"/>
    </xf>
    <xf numFmtId="0" fontId="11" fillId="7" borderId="1" xfId="0" applyFont="1" applyFill="1" applyBorder="1" applyAlignment="1">
      <alignment wrapText="1"/>
    </xf>
    <xf numFmtId="0" fontId="11" fillId="6" borderId="1" xfId="0" applyFont="1" applyFill="1" applyBorder="1" applyAlignment="1">
      <alignment wrapText="1"/>
    </xf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 wrapText="1"/>
    </xf>
    <xf numFmtId="0" fontId="3" fillId="0" borderId="0" xfId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1" fillId="0" borderId="2" xfId="1" applyFont="1" applyBorder="1" applyAlignment="1">
      <alignment horizontal="right" vertical="center" wrapText="1"/>
    </xf>
    <xf numFmtId="0" fontId="8" fillId="0" borderId="2" xfId="1" applyFont="1" applyBorder="1" applyAlignment="1">
      <alignment vertical="center"/>
    </xf>
    <xf numFmtId="0" fontId="3" fillId="0" borderId="2" xfId="1" applyBorder="1" applyAlignment="1">
      <alignment vertical="center"/>
    </xf>
  </cellXfs>
  <cellStyles count="2">
    <cellStyle name="표준" xfId="0" builtinId="0"/>
    <cellStyle name="표준 2" xfId="1" xr:uid="{A0ED085C-7FB4-497B-96EC-2011846C14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B15" sqref="B15"/>
    </sheetView>
  </sheetViews>
  <sheetFormatPr defaultColWidth="14.42578125" defaultRowHeight="15" customHeight="1"/>
  <cols>
    <col min="1" max="1" width="11.85546875" customWidth="1"/>
    <col min="2" max="2" width="7" customWidth="1"/>
    <col min="3" max="3" width="8" customWidth="1"/>
    <col min="4" max="4" width="13.42578125" customWidth="1"/>
    <col min="5" max="5" width="11" customWidth="1"/>
    <col min="6" max="6" width="16.42578125" customWidth="1"/>
    <col min="7" max="7" width="16.140625" customWidth="1"/>
    <col min="8" max="8" width="13" customWidth="1"/>
    <col min="9" max="9" width="11.5703125" customWidth="1"/>
    <col min="10" max="26" width="8.7109375" customWidth="1"/>
  </cols>
  <sheetData>
    <row r="1" spans="1:1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ht="17.25" customHeight="1">
      <c r="A2" s="2" t="s">
        <v>9</v>
      </c>
      <c r="B2" s="3">
        <v>100</v>
      </c>
      <c r="C2" s="3">
        <v>10</v>
      </c>
      <c r="D2" s="1">
        <v>0</v>
      </c>
      <c r="E2" s="1">
        <v>150</v>
      </c>
      <c r="F2" s="1">
        <v>1.5</v>
      </c>
      <c r="G2" s="1">
        <v>10</v>
      </c>
      <c r="H2" s="3">
        <v>1</v>
      </c>
      <c r="I2" s="1">
        <v>0</v>
      </c>
    </row>
    <row r="3" spans="1:11" ht="17.25" customHeight="1">
      <c r="A3" s="2" t="s">
        <v>10</v>
      </c>
      <c r="B3" s="3">
        <v>60</v>
      </c>
      <c r="C3" s="3">
        <v>14</v>
      </c>
      <c r="D3" s="1">
        <v>0</v>
      </c>
      <c r="E3" s="1">
        <v>150</v>
      </c>
      <c r="F3" s="1">
        <v>2</v>
      </c>
      <c r="G3" s="1">
        <v>8</v>
      </c>
      <c r="H3" s="3">
        <v>1.5</v>
      </c>
      <c r="I3" s="1">
        <v>0</v>
      </c>
    </row>
    <row r="4" spans="1:11" ht="17.25" customHeight="1">
      <c r="A4" s="2" t="s">
        <v>11</v>
      </c>
      <c r="B4" s="3">
        <v>80</v>
      </c>
      <c r="C4" s="3">
        <v>12</v>
      </c>
      <c r="D4" s="1">
        <v>0</v>
      </c>
      <c r="E4" s="1">
        <v>150</v>
      </c>
      <c r="F4" s="1">
        <v>2.5</v>
      </c>
      <c r="G4" s="1">
        <v>8</v>
      </c>
      <c r="H4" s="3">
        <v>2</v>
      </c>
      <c r="I4" s="1">
        <v>0</v>
      </c>
    </row>
    <row r="5" spans="1:11" ht="17.25" customHeight="1">
      <c r="A5" s="2" t="s">
        <v>12</v>
      </c>
      <c r="B5" s="3">
        <v>70</v>
      </c>
      <c r="C5" s="3">
        <v>13</v>
      </c>
      <c r="D5" s="1">
        <v>0</v>
      </c>
      <c r="E5" s="1">
        <v>150</v>
      </c>
      <c r="F5" s="1">
        <v>3</v>
      </c>
      <c r="G5" s="1">
        <v>10</v>
      </c>
      <c r="H5" s="3">
        <v>2</v>
      </c>
      <c r="I5" s="1">
        <v>0</v>
      </c>
    </row>
    <row r="6" spans="1:11" ht="17.25" customHeight="1">
      <c r="A6" s="2" t="s">
        <v>13</v>
      </c>
      <c r="B6" s="2">
        <v>90</v>
      </c>
      <c r="C6" s="2">
        <v>11</v>
      </c>
      <c r="D6" s="2">
        <v>2</v>
      </c>
      <c r="E6" s="1">
        <v>150</v>
      </c>
      <c r="F6" s="2">
        <v>1.8</v>
      </c>
      <c r="G6" s="2">
        <v>9</v>
      </c>
      <c r="H6" s="2">
        <v>1.2</v>
      </c>
      <c r="I6" s="2">
        <v>0</v>
      </c>
    </row>
    <row r="7" spans="1:11" ht="17.25" customHeight="1">
      <c r="A7" s="2" t="s">
        <v>14</v>
      </c>
      <c r="B7" s="3">
        <v>90</v>
      </c>
      <c r="C7" s="2">
        <v>15</v>
      </c>
      <c r="D7" s="2">
        <v>1</v>
      </c>
      <c r="E7" s="1">
        <v>150</v>
      </c>
      <c r="F7" s="2">
        <v>2.2000000000000002</v>
      </c>
      <c r="G7" s="2">
        <v>8</v>
      </c>
      <c r="H7" s="2">
        <v>1.2</v>
      </c>
      <c r="I7" s="2">
        <v>0</v>
      </c>
    </row>
    <row r="8" spans="1:11" ht="17.25" customHeight="1">
      <c r="A8" s="2" t="s">
        <v>15</v>
      </c>
      <c r="B8" s="3">
        <v>80</v>
      </c>
      <c r="C8" s="2">
        <v>9</v>
      </c>
      <c r="D8" s="2">
        <v>3</v>
      </c>
      <c r="E8" s="1">
        <v>150</v>
      </c>
      <c r="F8" s="2">
        <v>1.2</v>
      </c>
      <c r="G8" s="2">
        <v>11</v>
      </c>
      <c r="H8" s="2">
        <v>1.7</v>
      </c>
      <c r="I8" s="2">
        <v>0</v>
      </c>
    </row>
    <row r="9" spans="1:11" ht="17.25" customHeight="1">
      <c r="A9" s="2" t="s">
        <v>16</v>
      </c>
      <c r="B9" s="2">
        <v>120</v>
      </c>
      <c r="C9" s="2">
        <v>13</v>
      </c>
      <c r="D9" s="2">
        <v>0</v>
      </c>
      <c r="E9" s="1">
        <v>150</v>
      </c>
      <c r="F9" s="2">
        <v>2.8</v>
      </c>
      <c r="G9" s="2">
        <v>9</v>
      </c>
      <c r="H9" s="2">
        <v>1.2</v>
      </c>
      <c r="I9" s="2">
        <v>0</v>
      </c>
    </row>
    <row r="10" spans="1:11" ht="17.25" customHeight="1">
      <c r="A10" s="2" t="s">
        <v>17</v>
      </c>
      <c r="B10" s="2">
        <v>75</v>
      </c>
      <c r="C10" s="2">
        <v>12</v>
      </c>
      <c r="D10" s="2">
        <v>2</v>
      </c>
      <c r="E10" s="1">
        <v>150</v>
      </c>
      <c r="F10" s="2">
        <v>2</v>
      </c>
      <c r="G10" s="2">
        <v>10</v>
      </c>
      <c r="H10" s="2">
        <v>2.2999999999999998</v>
      </c>
      <c r="I10" s="2">
        <v>0</v>
      </c>
    </row>
    <row r="11" spans="1:11" ht="17.25" customHeight="1">
      <c r="A11" s="2" t="s">
        <v>18</v>
      </c>
      <c r="B11" s="3">
        <v>100</v>
      </c>
      <c r="C11" s="3">
        <v>10</v>
      </c>
      <c r="D11" s="1">
        <v>5</v>
      </c>
      <c r="E11" s="1">
        <v>150</v>
      </c>
      <c r="F11" s="1">
        <v>1.5</v>
      </c>
      <c r="G11" s="1">
        <v>5</v>
      </c>
      <c r="H11" s="3">
        <v>0.75</v>
      </c>
      <c r="I11" s="1">
        <v>0</v>
      </c>
      <c r="K11" s="9"/>
    </row>
    <row r="12" spans="1:11" ht="17.25" customHeight="1">
      <c r="A12" s="2" t="s">
        <v>19</v>
      </c>
      <c r="B12" s="3">
        <v>86</v>
      </c>
      <c r="C12" s="3">
        <v>12</v>
      </c>
      <c r="D12" s="1">
        <v>5</v>
      </c>
      <c r="E12" s="1">
        <v>150</v>
      </c>
      <c r="F12" s="1">
        <v>2</v>
      </c>
      <c r="G12" s="1">
        <v>10</v>
      </c>
      <c r="H12" s="3">
        <v>3</v>
      </c>
      <c r="I12" s="1">
        <v>0</v>
      </c>
      <c r="K12" s="9"/>
    </row>
    <row r="13" spans="1:11" ht="17.25" customHeight="1">
      <c r="A13" s="2" t="s">
        <v>20</v>
      </c>
      <c r="B13" s="3">
        <v>90</v>
      </c>
      <c r="C13" s="3">
        <v>9</v>
      </c>
      <c r="D13" s="1">
        <v>5</v>
      </c>
      <c r="E13" s="1">
        <v>150</v>
      </c>
      <c r="F13" s="1">
        <v>2.5</v>
      </c>
      <c r="G13" s="1">
        <v>15</v>
      </c>
      <c r="H13" s="3">
        <v>2.25</v>
      </c>
      <c r="I13" s="1">
        <v>0</v>
      </c>
      <c r="K13" s="9"/>
    </row>
    <row r="14" spans="1:11" ht="17.25" customHeight="1">
      <c r="A14" s="2" t="s">
        <v>21</v>
      </c>
      <c r="B14" s="3">
        <v>91</v>
      </c>
      <c r="C14" s="3">
        <v>12</v>
      </c>
      <c r="D14" s="1">
        <v>5</v>
      </c>
      <c r="E14" s="1">
        <v>150</v>
      </c>
      <c r="F14" s="1">
        <v>1.3</v>
      </c>
      <c r="G14" s="1">
        <v>8</v>
      </c>
      <c r="H14" s="3">
        <v>1.5</v>
      </c>
      <c r="I14" s="1">
        <v>0</v>
      </c>
      <c r="K14" s="9"/>
    </row>
    <row r="15" spans="1:11" ht="17.25" customHeight="1">
      <c r="A15" s="2" t="s">
        <v>22</v>
      </c>
      <c r="B15" s="2">
        <v>87</v>
      </c>
      <c r="C15" s="2">
        <v>13</v>
      </c>
      <c r="D15" s="2">
        <v>5</v>
      </c>
      <c r="E15" s="1">
        <v>150</v>
      </c>
      <c r="F15" s="2">
        <v>2.2000000000000002</v>
      </c>
      <c r="G15" s="2">
        <v>20</v>
      </c>
      <c r="H15" s="2">
        <v>2.25</v>
      </c>
      <c r="I15" s="2">
        <v>0</v>
      </c>
      <c r="K15" s="9"/>
    </row>
    <row r="16" spans="1:11" ht="17.25" customHeight="1">
      <c r="A16" s="2" t="s">
        <v>23</v>
      </c>
      <c r="B16" s="3">
        <v>84</v>
      </c>
      <c r="C16" s="2">
        <v>12</v>
      </c>
      <c r="D16" s="2">
        <v>5</v>
      </c>
      <c r="E16" s="1">
        <v>150</v>
      </c>
      <c r="F16" s="2">
        <v>1.4</v>
      </c>
      <c r="G16" s="2">
        <v>12</v>
      </c>
      <c r="H16" s="2">
        <v>2.25</v>
      </c>
      <c r="I16" s="2">
        <v>0</v>
      </c>
      <c r="K16" s="9"/>
    </row>
    <row r="17" spans="1:11" ht="17.25" customHeight="1">
      <c r="A17" s="4" t="s">
        <v>24</v>
      </c>
      <c r="B17" s="4">
        <v>107</v>
      </c>
      <c r="C17" s="4">
        <v>10</v>
      </c>
      <c r="D17" s="4">
        <v>5</v>
      </c>
      <c r="E17" s="1">
        <v>150</v>
      </c>
      <c r="F17" s="4">
        <v>1.9</v>
      </c>
      <c r="G17" s="4">
        <v>10</v>
      </c>
      <c r="H17" s="4">
        <v>1.5</v>
      </c>
      <c r="I17" s="4">
        <v>0</v>
      </c>
      <c r="K17" s="9"/>
    </row>
    <row r="18" spans="1:11" ht="17.25" customHeight="1">
      <c r="A18" s="4" t="s">
        <v>25</v>
      </c>
      <c r="B18" s="4">
        <v>86</v>
      </c>
      <c r="C18" s="4">
        <v>13</v>
      </c>
      <c r="D18" s="4">
        <v>5</v>
      </c>
      <c r="E18" s="1">
        <v>150</v>
      </c>
      <c r="F18" s="4">
        <v>1.5</v>
      </c>
      <c r="G18" s="4">
        <v>0</v>
      </c>
      <c r="H18" s="4">
        <v>3</v>
      </c>
      <c r="I18" s="4">
        <v>0</v>
      </c>
      <c r="K18" s="9"/>
    </row>
    <row r="19" spans="1:11" ht="17.25" customHeight="1">
      <c r="A19" s="4" t="s">
        <v>26</v>
      </c>
      <c r="B19" s="4">
        <v>94</v>
      </c>
      <c r="C19" s="4">
        <v>11</v>
      </c>
      <c r="D19" s="4">
        <v>5</v>
      </c>
      <c r="E19" s="1">
        <v>150</v>
      </c>
      <c r="F19" s="4">
        <v>1.8</v>
      </c>
      <c r="G19" s="4">
        <v>0</v>
      </c>
      <c r="H19" s="4">
        <v>0.75</v>
      </c>
      <c r="I19" s="4">
        <v>0</v>
      </c>
      <c r="K19" s="9"/>
    </row>
    <row r="20" spans="1:11" ht="17.25" customHeight="1"/>
    <row r="21" spans="1:11" ht="17.25" customHeight="1"/>
    <row r="22" spans="1:11" ht="17.25" customHeight="1"/>
    <row r="23" spans="1:11" ht="17.25" customHeight="1"/>
    <row r="24" spans="1:11" ht="17.25" customHeight="1"/>
    <row r="25" spans="1:11" ht="17.25" customHeight="1"/>
    <row r="26" spans="1:11" ht="17.25" customHeight="1"/>
    <row r="27" spans="1:11" ht="17.25" customHeight="1"/>
    <row r="28" spans="1:11" ht="17.25" customHeight="1"/>
    <row r="29" spans="1:11" ht="17.25" customHeight="1"/>
    <row r="30" spans="1:11" ht="17.25" customHeight="1"/>
    <row r="31" spans="1:11" ht="17.25" customHeight="1"/>
    <row r="32" spans="1:11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F18" sqref="F18"/>
    </sheetView>
  </sheetViews>
  <sheetFormatPr defaultColWidth="14.42578125" defaultRowHeight="15" customHeight="1"/>
  <cols>
    <col min="1" max="1" width="8.7109375" customWidth="1"/>
    <col min="2" max="2" width="6.42578125" customWidth="1"/>
    <col min="3" max="3" width="9.5703125" customWidth="1"/>
    <col min="4" max="4" width="15.28515625" customWidth="1"/>
    <col min="5" max="5" width="8.7109375" customWidth="1"/>
    <col min="6" max="6" width="15.5703125" customWidth="1"/>
    <col min="7" max="8" width="18.7109375" customWidth="1"/>
    <col min="9" max="9" width="18" customWidth="1"/>
    <col min="10" max="10" width="11.85546875" customWidth="1"/>
    <col min="11" max="11" width="10.140625" customWidth="1"/>
    <col min="12" max="12" width="77" customWidth="1"/>
    <col min="13" max="26" width="8.7109375" customWidth="1"/>
  </cols>
  <sheetData>
    <row r="1" spans="1:12" ht="17.25" customHeight="1">
      <c r="A1" s="4" t="s">
        <v>0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</row>
    <row r="2" spans="1:12" ht="17.25" customHeight="1">
      <c r="A2" s="4" t="s">
        <v>9</v>
      </c>
      <c r="B2" s="4" t="s">
        <v>38</v>
      </c>
      <c r="C2" s="4" t="s">
        <v>39</v>
      </c>
      <c r="D2" s="4" t="s">
        <v>40</v>
      </c>
      <c r="E2" s="4" t="s">
        <v>41</v>
      </c>
      <c r="F2" s="4"/>
      <c r="G2" s="4"/>
      <c r="H2" s="4"/>
      <c r="I2" s="4"/>
      <c r="J2" s="4">
        <v>1.05</v>
      </c>
      <c r="K2" s="4">
        <v>1.05</v>
      </c>
      <c r="L2" s="4" t="s">
        <v>42</v>
      </c>
    </row>
    <row r="3" spans="1:12" ht="17.25" customHeight="1">
      <c r="A3" s="4" t="s">
        <v>10</v>
      </c>
      <c r="B3" s="4" t="s">
        <v>43</v>
      </c>
      <c r="C3" s="4" t="s">
        <v>44</v>
      </c>
      <c r="D3" s="4" t="s">
        <v>45</v>
      </c>
      <c r="E3" s="4" t="s">
        <v>46</v>
      </c>
      <c r="F3" s="4"/>
      <c r="G3" s="4"/>
      <c r="H3" s="4"/>
      <c r="I3" s="4"/>
      <c r="J3" s="4">
        <v>1.1000000000000001</v>
      </c>
      <c r="K3" s="4">
        <v>1.1000000000000001</v>
      </c>
      <c r="L3" s="4" t="s">
        <v>47</v>
      </c>
    </row>
    <row r="4" spans="1:12" ht="17.25" customHeight="1">
      <c r="A4" s="4" t="s">
        <v>11</v>
      </c>
      <c r="B4" s="4" t="s">
        <v>48</v>
      </c>
      <c r="C4" s="4" t="s">
        <v>49</v>
      </c>
      <c r="D4" s="4" t="s">
        <v>50</v>
      </c>
      <c r="E4" s="4" t="s">
        <v>51</v>
      </c>
      <c r="F4" s="4"/>
      <c r="G4" s="4"/>
      <c r="H4" s="4"/>
      <c r="I4" s="4"/>
      <c r="J4" s="4">
        <v>1.2</v>
      </c>
      <c r="K4" s="4">
        <v>1.2</v>
      </c>
      <c r="L4" s="4" t="s">
        <v>52</v>
      </c>
    </row>
    <row r="5" spans="1:12" ht="17.25" customHeight="1">
      <c r="A5" s="4" t="s">
        <v>12</v>
      </c>
      <c r="B5" s="4" t="s">
        <v>53</v>
      </c>
      <c r="C5" s="4" t="s">
        <v>49</v>
      </c>
      <c r="D5" s="4" t="s">
        <v>50</v>
      </c>
      <c r="E5" s="4" t="s">
        <v>54</v>
      </c>
      <c r="F5" s="4"/>
      <c r="G5" s="4"/>
      <c r="H5" s="4"/>
      <c r="I5" s="4"/>
      <c r="J5" s="4">
        <v>1.3</v>
      </c>
      <c r="K5" s="4">
        <v>1.3</v>
      </c>
      <c r="L5" s="4" t="s">
        <v>55</v>
      </c>
    </row>
    <row r="6" spans="1:12" ht="17.25" customHeight="1">
      <c r="A6" s="4" t="s">
        <v>13</v>
      </c>
      <c r="B6" s="4" t="s">
        <v>56</v>
      </c>
      <c r="C6" s="4" t="s">
        <v>39</v>
      </c>
      <c r="D6" s="4" t="s">
        <v>40</v>
      </c>
      <c r="E6" s="4" t="s">
        <v>57</v>
      </c>
      <c r="F6" s="4"/>
      <c r="G6" s="4"/>
      <c r="H6" s="4"/>
      <c r="I6" s="4"/>
      <c r="J6" s="4">
        <v>1.4</v>
      </c>
      <c r="K6" s="4">
        <v>1.4</v>
      </c>
      <c r="L6" s="4" t="s">
        <v>58</v>
      </c>
    </row>
    <row r="7" spans="1:12" ht="17.25" customHeight="1">
      <c r="A7" s="4" t="s">
        <v>14</v>
      </c>
      <c r="B7" s="4" t="s">
        <v>59</v>
      </c>
      <c r="C7" s="4" t="s">
        <v>39</v>
      </c>
      <c r="D7" s="4" t="s">
        <v>40</v>
      </c>
      <c r="E7" s="4" t="s">
        <v>41</v>
      </c>
      <c r="F7" s="4"/>
      <c r="G7" s="4"/>
      <c r="H7" s="4"/>
      <c r="I7" s="4"/>
      <c r="J7" s="4">
        <v>1.05</v>
      </c>
      <c r="K7" s="4">
        <v>1.05</v>
      </c>
      <c r="L7" s="4" t="s">
        <v>60</v>
      </c>
    </row>
    <row r="8" spans="1:12" ht="17.25" customHeight="1">
      <c r="A8" s="4" t="s">
        <v>15</v>
      </c>
      <c r="B8" s="4" t="s">
        <v>61</v>
      </c>
      <c r="C8" s="4" t="s">
        <v>49</v>
      </c>
      <c r="D8" s="4" t="s">
        <v>50</v>
      </c>
      <c r="E8" s="4" t="s">
        <v>46</v>
      </c>
      <c r="F8" s="4"/>
      <c r="G8" s="4"/>
      <c r="H8" s="4"/>
      <c r="I8" s="4"/>
      <c r="J8" s="4">
        <v>1.1000000000000001</v>
      </c>
      <c r="K8" s="4">
        <v>1.1000000000000001</v>
      </c>
      <c r="L8" s="4" t="s">
        <v>62</v>
      </c>
    </row>
    <row r="9" spans="1:12" ht="17.25" customHeight="1">
      <c r="A9" s="4" t="s">
        <v>16</v>
      </c>
      <c r="B9" s="4" t="s">
        <v>63</v>
      </c>
      <c r="C9" s="4" t="s">
        <v>39</v>
      </c>
      <c r="D9" s="4" t="s">
        <v>40</v>
      </c>
      <c r="E9" s="4" t="s">
        <v>51</v>
      </c>
      <c r="F9" s="4"/>
      <c r="G9" s="4"/>
      <c r="H9" s="4"/>
      <c r="I9" s="4"/>
      <c r="J9" s="4">
        <v>1.2</v>
      </c>
      <c r="K9" s="4">
        <v>1.2</v>
      </c>
      <c r="L9" s="4" t="s">
        <v>64</v>
      </c>
    </row>
    <row r="10" spans="1:12" ht="17.25" customHeight="1">
      <c r="A10" s="4" t="s">
        <v>17</v>
      </c>
      <c r="B10" s="4" t="s">
        <v>65</v>
      </c>
      <c r="C10" s="4" t="s">
        <v>44</v>
      </c>
      <c r="D10" s="4" t="s">
        <v>45</v>
      </c>
      <c r="E10" s="4" t="s">
        <v>54</v>
      </c>
      <c r="F10" s="4"/>
      <c r="G10" s="4"/>
      <c r="H10" s="4"/>
      <c r="I10" s="4"/>
      <c r="J10" s="4">
        <v>1.3</v>
      </c>
      <c r="K10" s="4">
        <v>1.3</v>
      </c>
      <c r="L10" s="4" t="s">
        <v>66</v>
      </c>
    </row>
    <row r="11" spans="1:12" ht="17.25" customHeight="1">
      <c r="A11" s="4" t="s">
        <v>18</v>
      </c>
      <c r="B11" s="4" t="s">
        <v>67</v>
      </c>
      <c r="C11" s="4" t="s">
        <v>39</v>
      </c>
      <c r="D11" s="4" t="s">
        <v>40</v>
      </c>
      <c r="E11" s="4" t="s">
        <v>41</v>
      </c>
      <c r="F11" s="5" t="s">
        <v>68</v>
      </c>
      <c r="G11" s="5" t="s">
        <v>69</v>
      </c>
      <c r="H11" s="5" t="s">
        <v>70</v>
      </c>
      <c r="I11" s="4"/>
      <c r="J11" s="4">
        <v>1.13148</v>
      </c>
      <c r="K11" s="4">
        <v>1.13148</v>
      </c>
      <c r="L11" s="4" t="s">
        <v>71</v>
      </c>
    </row>
    <row r="12" spans="1:12" ht="17.25" customHeight="1">
      <c r="A12" s="4" t="s">
        <v>19</v>
      </c>
      <c r="B12" s="4" t="s">
        <v>72</v>
      </c>
      <c r="C12" s="4" t="s">
        <v>44</v>
      </c>
      <c r="D12" s="4" t="s">
        <v>45</v>
      </c>
      <c r="E12" s="4" t="s">
        <v>41</v>
      </c>
      <c r="F12" s="5" t="s">
        <v>73</v>
      </c>
      <c r="G12" s="5" t="s">
        <v>74</v>
      </c>
      <c r="H12" s="5" t="s">
        <v>75</v>
      </c>
      <c r="I12" s="4"/>
      <c r="J12" s="4">
        <v>1.13148</v>
      </c>
      <c r="K12" s="4">
        <v>1.13148</v>
      </c>
      <c r="L12" s="4" t="s">
        <v>76</v>
      </c>
    </row>
    <row r="13" spans="1:12" ht="17.25" customHeight="1">
      <c r="A13" s="4" t="s">
        <v>20</v>
      </c>
      <c r="B13" s="4" t="s">
        <v>77</v>
      </c>
      <c r="C13" s="4" t="s">
        <v>49</v>
      </c>
      <c r="D13" s="4" t="s">
        <v>50</v>
      </c>
      <c r="E13" s="4" t="s">
        <v>41</v>
      </c>
      <c r="F13" s="5" t="s">
        <v>78</v>
      </c>
      <c r="G13" s="5" t="s">
        <v>79</v>
      </c>
      <c r="H13" s="5" t="s">
        <v>80</v>
      </c>
      <c r="I13" s="4"/>
      <c r="J13" s="4">
        <v>1.13148</v>
      </c>
      <c r="K13" s="4">
        <v>1.13148</v>
      </c>
      <c r="L13" s="4" t="s">
        <v>81</v>
      </c>
    </row>
    <row r="14" spans="1:12" ht="17.25" customHeight="1">
      <c r="A14" s="4" t="s">
        <v>21</v>
      </c>
      <c r="B14" s="4" t="s">
        <v>82</v>
      </c>
      <c r="C14" s="4" t="s">
        <v>83</v>
      </c>
      <c r="D14" s="4" t="s">
        <v>40</v>
      </c>
      <c r="E14" s="4" t="s">
        <v>41</v>
      </c>
      <c r="F14" s="5" t="s">
        <v>84</v>
      </c>
      <c r="G14" s="5" t="s">
        <v>85</v>
      </c>
      <c r="H14" s="5" t="s">
        <v>86</v>
      </c>
      <c r="I14" s="4"/>
      <c r="J14" s="4">
        <v>1.13148</v>
      </c>
      <c r="K14" s="4">
        <v>1.13148</v>
      </c>
      <c r="L14" s="4" t="s">
        <v>87</v>
      </c>
    </row>
    <row r="15" spans="1:12" ht="17.25" customHeight="1">
      <c r="A15" s="4" t="s">
        <v>22</v>
      </c>
      <c r="B15" s="4" t="s">
        <v>88</v>
      </c>
      <c r="C15" s="4" t="s">
        <v>49</v>
      </c>
      <c r="D15" s="4" t="s">
        <v>50</v>
      </c>
      <c r="E15" s="4" t="s">
        <v>51</v>
      </c>
      <c r="F15" s="5" t="s">
        <v>89</v>
      </c>
      <c r="G15" s="5" t="s">
        <v>90</v>
      </c>
      <c r="H15" s="5" t="s">
        <v>91</v>
      </c>
      <c r="I15" s="4"/>
      <c r="J15" s="4">
        <v>1.13148</v>
      </c>
      <c r="K15" s="4">
        <v>1.13148</v>
      </c>
      <c r="L15" s="4" t="s">
        <v>92</v>
      </c>
    </row>
    <row r="16" spans="1:12" ht="17.25" customHeight="1">
      <c r="A16" s="4" t="s">
        <v>23</v>
      </c>
      <c r="B16" s="4" t="s">
        <v>93</v>
      </c>
      <c r="C16" s="4" t="s">
        <v>44</v>
      </c>
      <c r="D16" s="4" t="s">
        <v>45</v>
      </c>
      <c r="E16" s="4" t="s">
        <v>46</v>
      </c>
      <c r="F16" s="5" t="s">
        <v>94</v>
      </c>
      <c r="G16" s="5" t="s">
        <v>95</v>
      </c>
      <c r="H16" s="5" t="s">
        <v>73</v>
      </c>
      <c r="I16" s="4"/>
      <c r="J16" s="4">
        <v>1.13148</v>
      </c>
      <c r="K16" s="4">
        <v>1.13148</v>
      </c>
      <c r="L16" s="4" t="s">
        <v>96</v>
      </c>
    </row>
    <row r="17" spans="1:12" ht="17.25" customHeight="1">
      <c r="A17" s="4" t="s">
        <v>24</v>
      </c>
      <c r="B17" s="4" t="s">
        <v>97</v>
      </c>
      <c r="C17" s="4" t="s">
        <v>39</v>
      </c>
      <c r="D17" s="4" t="s">
        <v>40</v>
      </c>
      <c r="E17" s="4" t="s">
        <v>46</v>
      </c>
      <c r="F17" s="5" t="s">
        <v>68</v>
      </c>
      <c r="G17" s="5" t="s">
        <v>98</v>
      </c>
      <c r="H17" s="5" t="s">
        <v>99</v>
      </c>
      <c r="I17" s="4"/>
      <c r="J17" s="4">
        <v>1.13148</v>
      </c>
      <c r="K17" s="4">
        <v>1.13148</v>
      </c>
      <c r="L17" s="4" t="s">
        <v>100</v>
      </c>
    </row>
    <row r="18" spans="1:12" ht="17.25" customHeight="1">
      <c r="A18" s="4" t="s">
        <v>25</v>
      </c>
      <c r="B18" s="4" t="s">
        <v>101</v>
      </c>
      <c r="C18" s="4" t="s">
        <v>44</v>
      </c>
      <c r="D18" s="4" t="s">
        <v>45</v>
      </c>
      <c r="E18" s="4" t="s">
        <v>51</v>
      </c>
      <c r="F18" s="5" t="s">
        <v>102</v>
      </c>
      <c r="G18" s="5" t="s">
        <v>103</v>
      </c>
      <c r="H18" s="5" t="s">
        <v>104</v>
      </c>
      <c r="I18" s="4"/>
      <c r="J18" s="4">
        <v>1.13148</v>
      </c>
      <c r="K18" s="4">
        <v>1.13148</v>
      </c>
      <c r="L18" s="4" t="s">
        <v>105</v>
      </c>
    </row>
    <row r="19" spans="1:12" ht="17.25" customHeight="1">
      <c r="A19" s="4" t="s">
        <v>26</v>
      </c>
      <c r="B19" s="4" t="s">
        <v>106</v>
      </c>
      <c r="C19" s="4" t="s">
        <v>39</v>
      </c>
      <c r="D19" s="4" t="s">
        <v>40</v>
      </c>
      <c r="E19" s="4" t="s">
        <v>46</v>
      </c>
      <c r="F19" s="5" t="s">
        <v>107</v>
      </c>
      <c r="G19" s="5" t="s">
        <v>108</v>
      </c>
      <c r="H19" s="5" t="s">
        <v>109</v>
      </c>
      <c r="I19" s="4"/>
      <c r="J19" s="4">
        <v>1.13148</v>
      </c>
      <c r="K19" s="4">
        <v>1.13148</v>
      </c>
      <c r="L19" s="4" t="s">
        <v>110</v>
      </c>
    </row>
    <row r="20" spans="1:12" ht="17.25" customHeight="1"/>
    <row r="21" spans="1:12" ht="17.25" customHeight="1"/>
    <row r="22" spans="1:12" ht="17.25" customHeight="1"/>
    <row r="23" spans="1:12" ht="17.25" customHeight="1"/>
    <row r="24" spans="1:12" ht="17.25" customHeight="1"/>
    <row r="25" spans="1:12" ht="17.25" customHeight="1"/>
    <row r="26" spans="1:12" ht="17.25" customHeight="1"/>
    <row r="27" spans="1:12" ht="17.25" customHeight="1"/>
    <row r="28" spans="1:12" ht="17.25" customHeight="1"/>
    <row r="29" spans="1:12" ht="17.25" customHeight="1"/>
    <row r="30" spans="1:12" ht="17.25" customHeight="1"/>
    <row r="31" spans="1:12" ht="17.25" customHeight="1"/>
    <row r="32" spans="1:1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defaultColWidth="14.42578125" defaultRowHeight="15" customHeight="1"/>
  <cols>
    <col min="1" max="1" width="10" customWidth="1"/>
    <col min="2" max="2" width="14.42578125" customWidth="1"/>
    <col min="3" max="3" width="10.140625" customWidth="1"/>
    <col min="4" max="4" width="8" customWidth="1"/>
    <col min="5" max="5" width="11" customWidth="1"/>
    <col min="6" max="6" width="9.140625" customWidth="1"/>
    <col min="7" max="7" width="28.140625" customWidth="1"/>
    <col min="8" max="8" width="27.28515625" customWidth="1"/>
    <col min="9" max="9" width="11.85546875" customWidth="1"/>
    <col min="10" max="10" width="11.7109375" customWidth="1"/>
    <col min="11" max="11" width="10.85546875" customWidth="1"/>
    <col min="12" max="12" width="59.85546875" customWidth="1"/>
    <col min="13" max="13" width="9.5703125" customWidth="1"/>
    <col min="14" max="26" width="8.7109375" customWidth="1"/>
  </cols>
  <sheetData>
    <row r="1" spans="1:13" ht="17.25" customHeight="1">
      <c r="A1" s="4" t="s">
        <v>0</v>
      </c>
      <c r="B1" s="4" t="s">
        <v>27</v>
      </c>
      <c r="C1" s="4" t="s">
        <v>111</v>
      </c>
      <c r="D1" s="4" t="s">
        <v>112</v>
      </c>
      <c r="E1" s="4" t="s">
        <v>113</v>
      </c>
      <c r="F1" s="4" t="s">
        <v>114</v>
      </c>
      <c r="G1" s="4" t="s">
        <v>115</v>
      </c>
      <c r="H1" s="4" t="s">
        <v>116</v>
      </c>
      <c r="I1" s="4" t="s">
        <v>117</v>
      </c>
      <c r="J1" s="4" t="s">
        <v>118</v>
      </c>
      <c r="K1" s="4" t="s">
        <v>119</v>
      </c>
      <c r="L1" s="4" t="s">
        <v>37</v>
      </c>
      <c r="M1" s="4" t="s">
        <v>28</v>
      </c>
    </row>
    <row r="2" spans="1:13" ht="17.25" customHeight="1">
      <c r="A2" s="6" t="s">
        <v>68</v>
      </c>
      <c r="B2" s="6" t="s">
        <v>120</v>
      </c>
      <c r="C2" s="6" t="s">
        <v>121</v>
      </c>
      <c r="D2" s="6" t="b">
        <v>0</v>
      </c>
      <c r="E2" s="6" t="s">
        <v>122</v>
      </c>
      <c r="F2" s="7">
        <v>3</v>
      </c>
      <c r="G2" s="6" t="s">
        <v>123</v>
      </c>
      <c r="H2" s="6" t="s">
        <v>124</v>
      </c>
      <c r="I2" s="4"/>
      <c r="J2" s="4"/>
      <c r="K2" s="4"/>
      <c r="L2" s="6" t="s">
        <v>125</v>
      </c>
      <c r="M2" s="4" t="s">
        <v>122</v>
      </c>
    </row>
    <row r="3" spans="1:13" ht="17.25" customHeight="1">
      <c r="A3" s="6" t="s">
        <v>69</v>
      </c>
      <c r="B3" s="6" t="s">
        <v>126</v>
      </c>
      <c r="C3" s="6" t="s">
        <v>121</v>
      </c>
      <c r="D3" s="6" t="b">
        <v>0</v>
      </c>
      <c r="E3" s="6" t="s">
        <v>122</v>
      </c>
      <c r="F3" s="7">
        <v>4</v>
      </c>
      <c r="G3" s="6" t="s">
        <v>127</v>
      </c>
      <c r="H3" s="4"/>
      <c r="I3" s="4"/>
      <c r="J3" s="4"/>
      <c r="K3" s="4"/>
      <c r="L3" s="6" t="s">
        <v>128</v>
      </c>
      <c r="M3" s="4" t="s">
        <v>122</v>
      </c>
    </row>
    <row r="4" spans="1:13" ht="17.25" customHeight="1">
      <c r="A4" s="6" t="s">
        <v>99</v>
      </c>
      <c r="B4" s="6" t="s">
        <v>129</v>
      </c>
      <c r="C4" s="6" t="s">
        <v>130</v>
      </c>
      <c r="D4" s="6" t="b">
        <v>0</v>
      </c>
      <c r="E4" s="6" t="s">
        <v>122</v>
      </c>
      <c r="F4" s="7">
        <v>12</v>
      </c>
      <c r="G4" s="6" t="s">
        <v>131</v>
      </c>
      <c r="H4" s="4"/>
      <c r="I4" s="4"/>
      <c r="J4" s="4"/>
      <c r="K4" s="4"/>
      <c r="L4" s="6" t="s">
        <v>132</v>
      </c>
      <c r="M4" s="4" t="s">
        <v>122</v>
      </c>
    </row>
    <row r="5" spans="1:13" ht="17.25" customHeight="1">
      <c r="A5" s="6" t="s">
        <v>84</v>
      </c>
      <c r="B5" s="6" t="s">
        <v>133</v>
      </c>
      <c r="C5" s="6" t="s">
        <v>121</v>
      </c>
      <c r="D5" s="6" t="b">
        <v>0</v>
      </c>
      <c r="E5" s="6" t="s">
        <v>122</v>
      </c>
      <c r="F5" s="7">
        <v>3</v>
      </c>
      <c r="G5" s="6" t="s">
        <v>134</v>
      </c>
      <c r="H5" s="6" t="s">
        <v>135</v>
      </c>
      <c r="I5" s="4"/>
      <c r="J5" s="4"/>
      <c r="K5" s="4"/>
      <c r="L5" s="6" t="s">
        <v>136</v>
      </c>
      <c r="M5" s="4" t="s">
        <v>122</v>
      </c>
    </row>
    <row r="6" spans="1:13" ht="17.25" customHeight="1">
      <c r="A6" s="6" t="s">
        <v>85</v>
      </c>
      <c r="B6" s="6" t="s">
        <v>137</v>
      </c>
      <c r="C6" s="6" t="s">
        <v>121</v>
      </c>
      <c r="D6" s="6" t="b">
        <v>0</v>
      </c>
      <c r="E6" s="6" t="s">
        <v>122</v>
      </c>
      <c r="F6" s="7">
        <v>4</v>
      </c>
      <c r="G6" s="6" t="s">
        <v>138</v>
      </c>
      <c r="H6" s="4"/>
      <c r="I6" s="4"/>
      <c r="J6" s="4"/>
      <c r="K6" s="4"/>
      <c r="L6" s="6" t="s">
        <v>139</v>
      </c>
      <c r="M6" s="4" t="s">
        <v>122</v>
      </c>
    </row>
    <row r="7" spans="1:13" ht="17.25" customHeight="1">
      <c r="A7" s="6" t="s">
        <v>86</v>
      </c>
      <c r="B7" s="6" t="s">
        <v>140</v>
      </c>
      <c r="C7" s="6" t="s">
        <v>121</v>
      </c>
      <c r="D7" s="6" t="b">
        <v>0</v>
      </c>
      <c r="E7" s="6" t="s">
        <v>122</v>
      </c>
      <c r="F7" s="7">
        <v>5</v>
      </c>
      <c r="G7" s="6" t="s">
        <v>127</v>
      </c>
      <c r="H7" s="4"/>
      <c r="I7" s="4"/>
      <c r="J7" s="4"/>
      <c r="K7" s="4"/>
      <c r="L7" s="4" t="s">
        <v>141</v>
      </c>
      <c r="M7" s="4" t="s">
        <v>122</v>
      </c>
    </row>
    <row r="8" spans="1:13" ht="17.25" customHeight="1">
      <c r="A8" s="6" t="s">
        <v>107</v>
      </c>
      <c r="B8" s="6" t="s">
        <v>142</v>
      </c>
      <c r="C8" s="6" t="s">
        <v>121</v>
      </c>
      <c r="D8" s="6" t="b">
        <v>0</v>
      </c>
      <c r="E8" s="6" t="s">
        <v>122</v>
      </c>
      <c r="F8" s="4">
        <v>15</v>
      </c>
      <c r="G8" s="6" t="s">
        <v>123</v>
      </c>
      <c r="H8" s="4"/>
      <c r="I8" s="4"/>
      <c r="J8" s="4"/>
      <c r="K8" s="4"/>
      <c r="L8" s="6" t="s">
        <v>143</v>
      </c>
      <c r="M8" s="4" t="s">
        <v>122</v>
      </c>
    </row>
    <row r="9" spans="1:13" ht="17.25" customHeight="1">
      <c r="A9" s="6" t="s">
        <v>108</v>
      </c>
      <c r="B9" s="6" t="s">
        <v>144</v>
      </c>
      <c r="C9" s="6" t="s">
        <v>121</v>
      </c>
      <c r="D9" s="6" t="b">
        <v>0</v>
      </c>
      <c r="E9" s="6" t="s">
        <v>122</v>
      </c>
      <c r="F9" s="4">
        <v>16</v>
      </c>
      <c r="G9" s="6" t="s">
        <v>145</v>
      </c>
      <c r="H9" s="4"/>
      <c r="I9" s="4"/>
      <c r="J9" s="4"/>
      <c r="K9" s="4"/>
      <c r="L9" s="4" t="s">
        <v>146</v>
      </c>
      <c r="M9" s="4" t="s">
        <v>122</v>
      </c>
    </row>
    <row r="10" spans="1:13" ht="17.25" customHeight="1">
      <c r="A10" s="6" t="s">
        <v>147</v>
      </c>
      <c r="B10" s="6" t="s">
        <v>148</v>
      </c>
      <c r="C10" s="6" t="s">
        <v>121</v>
      </c>
      <c r="D10" s="6" t="b">
        <v>0</v>
      </c>
      <c r="E10" s="6" t="s">
        <v>122</v>
      </c>
      <c r="F10" s="4">
        <v>17</v>
      </c>
      <c r="G10" s="6" t="s">
        <v>135</v>
      </c>
      <c r="H10" s="4"/>
      <c r="I10" s="4"/>
      <c r="J10" s="4"/>
      <c r="K10" s="4"/>
      <c r="L10" s="4" t="s">
        <v>149</v>
      </c>
      <c r="M10" s="4" t="s">
        <v>122</v>
      </c>
    </row>
    <row r="11" spans="1:13" ht="17.25" customHeight="1">
      <c r="A11" s="6" t="s">
        <v>103</v>
      </c>
      <c r="B11" s="6" t="s">
        <v>150</v>
      </c>
      <c r="C11" s="6" t="s">
        <v>121</v>
      </c>
      <c r="D11" s="6" t="b">
        <v>0</v>
      </c>
      <c r="E11" s="6" t="s">
        <v>122</v>
      </c>
      <c r="F11" s="4">
        <v>18</v>
      </c>
      <c r="G11" s="6" t="s">
        <v>151</v>
      </c>
      <c r="H11" s="6"/>
      <c r="I11" s="4"/>
      <c r="J11" s="4"/>
      <c r="K11" s="4"/>
      <c r="L11" s="4" t="s">
        <v>152</v>
      </c>
      <c r="M11" s="4" t="s">
        <v>122</v>
      </c>
    </row>
    <row r="12" spans="1:13" ht="17.25" customHeight="1">
      <c r="A12" s="6" t="s">
        <v>95</v>
      </c>
      <c r="B12" s="6" t="s">
        <v>153</v>
      </c>
      <c r="C12" s="6" t="s">
        <v>121</v>
      </c>
      <c r="D12" s="6" t="b">
        <v>0</v>
      </c>
      <c r="E12" s="6" t="s">
        <v>122</v>
      </c>
      <c r="F12" s="4">
        <v>19</v>
      </c>
      <c r="G12" s="6" t="s">
        <v>151</v>
      </c>
      <c r="H12" s="6" t="s">
        <v>151</v>
      </c>
      <c r="I12" s="4"/>
      <c r="J12" s="4"/>
      <c r="K12" s="4"/>
      <c r="L12" s="4" t="s">
        <v>154</v>
      </c>
      <c r="M12" s="4" t="s">
        <v>122</v>
      </c>
    </row>
    <row r="13" spans="1:13" ht="17.25" customHeight="1">
      <c r="A13" s="6" t="s">
        <v>73</v>
      </c>
      <c r="B13" s="6" t="s">
        <v>155</v>
      </c>
      <c r="C13" s="6" t="s">
        <v>121</v>
      </c>
      <c r="D13" s="6" t="b">
        <v>0</v>
      </c>
      <c r="E13" s="6" t="s">
        <v>122</v>
      </c>
      <c r="F13" s="4">
        <v>20</v>
      </c>
      <c r="G13" s="6" t="s">
        <v>135</v>
      </c>
      <c r="H13" s="4"/>
      <c r="I13" s="4"/>
      <c r="J13" s="4"/>
      <c r="K13" s="4"/>
      <c r="L13" s="6" t="s">
        <v>156</v>
      </c>
      <c r="M13" s="4" t="s">
        <v>122</v>
      </c>
    </row>
    <row r="14" spans="1:13" ht="17.25" customHeight="1">
      <c r="A14" s="6" t="s">
        <v>102</v>
      </c>
      <c r="B14" s="6" t="s">
        <v>157</v>
      </c>
      <c r="C14" s="6" t="s">
        <v>121</v>
      </c>
      <c r="D14" s="6" t="b">
        <v>0</v>
      </c>
      <c r="E14" s="6" t="s">
        <v>122</v>
      </c>
      <c r="F14" s="4">
        <v>21</v>
      </c>
      <c r="G14" s="6" t="s">
        <v>138</v>
      </c>
      <c r="H14" s="4" t="s">
        <v>158</v>
      </c>
      <c r="I14" s="4"/>
      <c r="J14" s="4"/>
      <c r="K14" s="4"/>
      <c r="L14" s="6" t="s">
        <v>159</v>
      </c>
      <c r="M14" s="4" t="s">
        <v>122</v>
      </c>
    </row>
    <row r="15" spans="1:13" ht="17.25" customHeight="1">
      <c r="A15" s="6" t="s">
        <v>75</v>
      </c>
      <c r="B15" s="6" t="s">
        <v>160</v>
      </c>
      <c r="C15" s="6" t="s">
        <v>121</v>
      </c>
      <c r="D15" s="6" t="b">
        <v>0</v>
      </c>
      <c r="E15" s="6" t="s">
        <v>122</v>
      </c>
      <c r="F15" s="4">
        <v>22</v>
      </c>
      <c r="G15" s="6" t="s">
        <v>161</v>
      </c>
      <c r="H15" s="4"/>
      <c r="I15" s="4"/>
      <c r="J15" s="4"/>
      <c r="K15" s="4"/>
      <c r="L15" s="6" t="s">
        <v>162</v>
      </c>
      <c r="M15" s="4" t="s">
        <v>122</v>
      </c>
    </row>
    <row r="16" spans="1:13" ht="17.25" customHeight="1">
      <c r="A16" s="6" t="s">
        <v>163</v>
      </c>
      <c r="B16" s="6" t="s">
        <v>164</v>
      </c>
      <c r="C16" s="6" t="s">
        <v>130</v>
      </c>
      <c r="D16" s="6" t="b">
        <v>0</v>
      </c>
      <c r="E16" s="6" t="s">
        <v>122</v>
      </c>
      <c r="F16" s="4">
        <v>23</v>
      </c>
      <c r="G16" s="6" t="s">
        <v>165</v>
      </c>
      <c r="H16" s="6" t="s">
        <v>166</v>
      </c>
      <c r="I16" s="4"/>
      <c r="J16" s="4"/>
      <c r="K16" s="4"/>
      <c r="L16" s="6" t="s">
        <v>167</v>
      </c>
      <c r="M16" s="4" t="s">
        <v>122</v>
      </c>
    </row>
    <row r="17" spans="1:13" ht="17.25" customHeight="1">
      <c r="A17" s="6" t="s">
        <v>94</v>
      </c>
      <c r="B17" s="4" t="s">
        <v>168</v>
      </c>
      <c r="C17" s="6" t="s">
        <v>169</v>
      </c>
      <c r="D17" s="6" t="b">
        <v>0</v>
      </c>
      <c r="E17" s="6" t="s">
        <v>122</v>
      </c>
      <c r="F17" s="4">
        <v>24</v>
      </c>
      <c r="G17" s="6" t="s">
        <v>170</v>
      </c>
      <c r="H17" s="4"/>
      <c r="I17" s="4"/>
      <c r="J17" s="4"/>
      <c r="K17" s="4"/>
      <c r="L17" s="4" t="s">
        <v>171</v>
      </c>
      <c r="M17" s="4" t="s">
        <v>122</v>
      </c>
    </row>
    <row r="18" spans="1:13" ht="17.25" customHeight="1">
      <c r="A18" s="6" t="s">
        <v>74</v>
      </c>
      <c r="B18" s="4" t="s">
        <v>172</v>
      </c>
      <c r="C18" s="6" t="s">
        <v>169</v>
      </c>
      <c r="D18" s="6" t="b">
        <v>0</v>
      </c>
      <c r="E18" s="6" t="s">
        <v>122</v>
      </c>
      <c r="F18" s="4">
        <v>25</v>
      </c>
      <c r="G18" s="6" t="s">
        <v>165</v>
      </c>
      <c r="H18" s="4"/>
      <c r="I18" s="4"/>
      <c r="J18" s="4"/>
      <c r="K18" s="4"/>
      <c r="L18" s="4" t="s">
        <v>173</v>
      </c>
      <c r="M18" s="4" t="s">
        <v>122</v>
      </c>
    </row>
    <row r="19" spans="1:13" ht="17.25" customHeight="1">
      <c r="A19" s="6" t="s">
        <v>70</v>
      </c>
      <c r="B19" s="4" t="s">
        <v>174</v>
      </c>
      <c r="C19" s="6" t="s">
        <v>130</v>
      </c>
      <c r="D19" s="6" t="b">
        <v>0</v>
      </c>
      <c r="E19" s="6" t="s">
        <v>122</v>
      </c>
      <c r="F19" s="4">
        <v>26</v>
      </c>
      <c r="G19" s="6" t="s">
        <v>175</v>
      </c>
      <c r="H19" s="4"/>
      <c r="I19" s="4"/>
      <c r="J19" s="4"/>
      <c r="K19" s="4"/>
      <c r="L19" s="4" t="s">
        <v>176</v>
      </c>
      <c r="M19" s="4" t="s">
        <v>122</v>
      </c>
    </row>
    <row r="20" spans="1:13" ht="17.25" customHeight="1">
      <c r="A20" s="6" t="s">
        <v>98</v>
      </c>
      <c r="B20" s="4" t="s">
        <v>177</v>
      </c>
      <c r="C20" s="6" t="s">
        <v>169</v>
      </c>
      <c r="D20" s="6" t="b">
        <v>0</v>
      </c>
      <c r="E20" s="6" t="s">
        <v>122</v>
      </c>
      <c r="F20" s="4">
        <v>27</v>
      </c>
      <c r="G20" s="4" t="s">
        <v>175</v>
      </c>
      <c r="H20" s="4"/>
      <c r="I20" s="4"/>
      <c r="J20" s="4"/>
      <c r="K20" s="4"/>
      <c r="L20" s="4" t="s">
        <v>178</v>
      </c>
      <c r="M20" s="4" t="s">
        <v>122</v>
      </c>
    </row>
    <row r="21" spans="1:13" ht="17.25" customHeight="1">
      <c r="A21" s="6" t="s">
        <v>89</v>
      </c>
      <c r="B21" s="4" t="s">
        <v>179</v>
      </c>
      <c r="C21" s="6" t="s">
        <v>49</v>
      </c>
      <c r="D21" s="6" t="b">
        <v>0</v>
      </c>
      <c r="E21" s="6" t="s">
        <v>122</v>
      </c>
      <c r="F21" s="4">
        <v>29</v>
      </c>
      <c r="G21" s="4" t="s">
        <v>180</v>
      </c>
      <c r="H21" s="4"/>
      <c r="I21" s="4"/>
      <c r="J21" s="4"/>
      <c r="K21" s="4"/>
      <c r="L21" s="4" t="s">
        <v>181</v>
      </c>
      <c r="M21" s="4" t="s">
        <v>122</v>
      </c>
    </row>
    <row r="22" spans="1:13" ht="17.25" customHeight="1">
      <c r="A22" s="6" t="s">
        <v>90</v>
      </c>
      <c r="B22" s="4" t="s">
        <v>182</v>
      </c>
      <c r="C22" s="6" t="s">
        <v>49</v>
      </c>
      <c r="D22" s="6" t="b">
        <v>0</v>
      </c>
      <c r="E22" s="6" t="s">
        <v>122</v>
      </c>
      <c r="F22" s="4">
        <v>30</v>
      </c>
      <c r="G22" s="4" t="s">
        <v>183</v>
      </c>
      <c r="H22" s="4"/>
      <c r="I22" s="4"/>
      <c r="J22" s="4"/>
      <c r="K22" s="4"/>
      <c r="L22" s="4" t="s">
        <v>184</v>
      </c>
      <c r="M22" s="4" t="s">
        <v>122</v>
      </c>
    </row>
    <row r="23" spans="1:13" ht="17.25" customHeight="1">
      <c r="A23" s="6" t="s">
        <v>80</v>
      </c>
      <c r="B23" s="4" t="s">
        <v>185</v>
      </c>
      <c r="C23" s="6" t="s">
        <v>130</v>
      </c>
      <c r="D23" s="6" t="b">
        <v>0</v>
      </c>
      <c r="E23" s="6" t="s">
        <v>122</v>
      </c>
      <c r="F23" s="4">
        <v>31</v>
      </c>
      <c r="G23" s="4" t="s">
        <v>186</v>
      </c>
      <c r="H23" s="4"/>
      <c r="I23" s="4"/>
      <c r="J23" s="4"/>
      <c r="K23" s="4"/>
      <c r="L23" s="4" t="s">
        <v>187</v>
      </c>
      <c r="M23" s="4" t="s">
        <v>122</v>
      </c>
    </row>
    <row r="24" spans="1:13" ht="17.25" customHeight="1">
      <c r="A24" s="6" t="s">
        <v>79</v>
      </c>
      <c r="B24" s="4" t="s">
        <v>188</v>
      </c>
      <c r="C24" s="6" t="s">
        <v>130</v>
      </c>
      <c r="D24" s="6" t="b">
        <v>0</v>
      </c>
      <c r="E24" s="6" t="s">
        <v>122</v>
      </c>
      <c r="F24" s="4">
        <v>32</v>
      </c>
      <c r="G24" s="4" t="s">
        <v>186</v>
      </c>
      <c r="H24" s="6" t="s">
        <v>189</v>
      </c>
      <c r="I24" s="4"/>
      <c r="J24" s="4"/>
      <c r="K24" s="4"/>
      <c r="L24" s="4" t="s">
        <v>190</v>
      </c>
      <c r="M24" s="4" t="s">
        <v>122</v>
      </c>
    </row>
    <row r="25" spans="1:13" ht="17.25" customHeight="1">
      <c r="A25" s="6" t="s">
        <v>191</v>
      </c>
      <c r="B25" s="6" t="s">
        <v>192</v>
      </c>
      <c r="C25" s="6" t="s">
        <v>121</v>
      </c>
      <c r="D25" s="6" t="b">
        <v>0</v>
      </c>
      <c r="E25" s="6" t="s">
        <v>122</v>
      </c>
      <c r="F25" s="4">
        <v>33</v>
      </c>
      <c r="G25" s="6" t="s">
        <v>161</v>
      </c>
      <c r="H25" s="4"/>
      <c r="I25" s="4"/>
      <c r="J25" s="4"/>
      <c r="K25" s="4"/>
      <c r="L25" s="6" t="s">
        <v>193</v>
      </c>
      <c r="M25" s="4" t="s">
        <v>122</v>
      </c>
    </row>
    <row r="26" spans="1:13" ht="17.25" customHeight="1">
      <c r="A26" s="6" t="s">
        <v>104</v>
      </c>
      <c r="B26" s="6" t="s">
        <v>194</v>
      </c>
      <c r="C26" s="6" t="s">
        <v>121</v>
      </c>
      <c r="D26" s="6" t="b">
        <v>0</v>
      </c>
      <c r="E26" s="6" t="s">
        <v>122</v>
      </c>
      <c r="F26" s="4">
        <v>34</v>
      </c>
      <c r="G26" s="6" t="s">
        <v>123</v>
      </c>
      <c r="H26" s="4" t="s">
        <v>195</v>
      </c>
      <c r="I26" s="4"/>
      <c r="J26" s="4"/>
      <c r="K26" s="4"/>
      <c r="L26" s="6" t="s">
        <v>196</v>
      </c>
      <c r="M26" s="4" t="s">
        <v>122</v>
      </c>
    </row>
    <row r="27" spans="1:13" ht="17.25" customHeight="1">
      <c r="A27" s="6" t="s">
        <v>91</v>
      </c>
      <c r="B27" s="6" t="s">
        <v>197</v>
      </c>
      <c r="C27" s="6" t="s">
        <v>121</v>
      </c>
      <c r="D27" s="6" t="b">
        <v>0</v>
      </c>
      <c r="E27" s="6" t="s">
        <v>122</v>
      </c>
      <c r="F27" s="4">
        <v>35</v>
      </c>
      <c r="G27" s="6" t="s">
        <v>161</v>
      </c>
      <c r="H27" s="4"/>
      <c r="I27" s="4"/>
      <c r="J27" s="4"/>
      <c r="K27" s="4"/>
      <c r="L27" s="6" t="s">
        <v>198</v>
      </c>
      <c r="M27" s="4" t="s">
        <v>122</v>
      </c>
    </row>
    <row r="28" spans="1:13" ht="17.25" customHeight="1">
      <c r="A28" s="6" t="s">
        <v>109</v>
      </c>
      <c r="B28" s="6" t="s">
        <v>199</v>
      </c>
      <c r="C28" s="6" t="s">
        <v>121</v>
      </c>
      <c r="D28" s="6" t="b">
        <v>0</v>
      </c>
      <c r="E28" s="6" t="s">
        <v>122</v>
      </c>
      <c r="F28" s="4">
        <v>36</v>
      </c>
      <c r="G28" s="6" t="s">
        <v>161</v>
      </c>
      <c r="H28" s="4"/>
      <c r="I28" s="4"/>
      <c r="J28" s="4"/>
      <c r="K28" s="4"/>
      <c r="L28" s="6" t="s">
        <v>200</v>
      </c>
      <c r="M28" s="4" t="s">
        <v>122</v>
      </c>
    </row>
    <row r="29" spans="1:13" ht="17.25" customHeight="1">
      <c r="A29" s="6" t="s">
        <v>78</v>
      </c>
      <c r="B29" s="6" t="s">
        <v>201</v>
      </c>
      <c r="C29" s="6" t="s">
        <v>130</v>
      </c>
      <c r="D29" s="6" t="b">
        <v>0</v>
      </c>
      <c r="E29" s="6" t="s">
        <v>122</v>
      </c>
      <c r="F29" s="4">
        <v>37</v>
      </c>
      <c r="G29" s="6" t="s">
        <v>202</v>
      </c>
      <c r="H29" s="4"/>
      <c r="I29" s="4"/>
      <c r="J29" s="4"/>
      <c r="K29" s="4"/>
      <c r="L29" s="6" t="s">
        <v>203</v>
      </c>
      <c r="M29" s="4" t="s">
        <v>122</v>
      </c>
    </row>
    <row r="30" spans="1:13" ht="17.25" customHeight="1"/>
    <row r="31" spans="1:13" ht="17.25" customHeight="1"/>
    <row r="32" spans="1:13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L4" sqref="L4"/>
    </sheetView>
  </sheetViews>
  <sheetFormatPr defaultColWidth="14.42578125" defaultRowHeight="15" customHeight="1"/>
  <cols>
    <col min="1" max="10" width="15.42578125" customWidth="1"/>
    <col min="11" max="11" width="8.7109375" customWidth="1"/>
    <col min="12" max="12" width="34.5703125" customWidth="1"/>
    <col min="13" max="26" width="8.7109375" customWidth="1"/>
  </cols>
  <sheetData>
    <row r="1" spans="1:11" ht="17.25" customHeight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204</v>
      </c>
    </row>
    <row r="2" spans="1:11" ht="17.25" customHeight="1">
      <c r="A2" s="53" t="s">
        <v>205</v>
      </c>
      <c r="B2" s="41">
        <v>24</v>
      </c>
      <c r="C2" s="41">
        <v>3</v>
      </c>
      <c r="D2" s="41">
        <v>0</v>
      </c>
      <c r="E2" s="53">
        <v>150</v>
      </c>
      <c r="F2" s="54">
        <v>2</v>
      </c>
      <c r="G2" s="52">
        <v>8</v>
      </c>
      <c r="H2" s="54">
        <v>1</v>
      </c>
      <c r="I2" s="52">
        <v>0</v>
      </c>
      <c r="J2" s="52">
        <v>3</v>
      </c>
    </row>
    <row r="3" spans="1:11" ht="17.25" customHeight="1">
      <c r="A3" s="53" t="s">
        <v>206</v>
      </c>
      <c r="B3" s="41">
        <v>18</v>
      </c>
      <c r="C3" s="41">
        <v>4</v>
      </c>
      <c r="D3" s="41">
        <v>0</v>
      </c>
      <c r="E3" s="53">
        <v>150</v>
      </c>
      <c r="F3" s="54">
        <v>3.5</v>
      </c>
      <c r="G3" s="52">
        <v>8</v>
      </c>
      <c r="H3" s="54">
        <v>2.5</v>
      </c>
      <c r="I3" s="52">
        <v>0</v>
      </c>
      <c r="J3" s="52">
        <v>2</v>
      </c>
    </row>
    <row r="4" spans="1:11" ht="17.25" customHeight="1">
      <c r="A4" s="53" t="s">
        <v>207</v>
      </c>
      <c r="B4" s="41">
        <v>150</v>
      </c>
      <c r="C4" s="41">
        <v>9</v>
      </c>
      <c r="D4" s="41">
        <v>0</v>
      </c>
      <c r="E4" s="53">
        <v>150</v>
      </c>
      <c r="F4" s="53">
        <v>2.5</v>
      </c>
      <c r="G4" s="53">
        <v>9</v>
      </c>
      <c r="H4" s="53">
        <v>1.5</v>
      </c>
      <c r="I4" s="53">
        <v>0</v>
      </c>
      <c r="J4" s="53">
        <v>1.5</v>
      </c>
    </row>
    <row r="5" spans="1:11" ht="17.25" customHeight="1">
      <c r="A5" s="53" t="s">
        <v>208</v>
      </c>
      <c r="B5" s="41">
        <v>300</v>
      </c>
      <c r="C5" s="41">
        <v>15</v>
      </c>
      <c r="D5" s="41">
        <v>0</v>
      </c>
      <c r="E5" s="53">
        <v>150</v>
      </c>
      <c r="F5" s="53">
        <v>4</v>
      </c>
      <c r="G5" s="53">
        <v>10</v>
      </c>
      <c r="H5" s="53">
        <v>1.3</v>
      </c>
      <c r="I5" s="53">
        <v>0</v>
      </c>
      <c r="J5" s="53">
        <v>2</v>
      </c>
    </row>
    <row r="6" spans="1:11" ht="17.25" customHeight="1">
      <c r="A6" s="53" t="s">
        <v>209</v>
      </c>
      <c r="B6" s="41">
        <v>18</v>
      </c>
      <c r="C6" s="41">
        <v>4</v>
      </c>
      <c r="D6" s="41">
        <v>0</v>
      </c>
      <c r="E6" s="53">
        <v>150</v>
      </c>
      <c r="F6" s="53">
        <v>3</v>
      </c>
      <c r="G6" s="53">
        <v>11</v>
      </c>
      <c r="H6" s="53">
        <v>2.2000000000000002</v>
      </c>
      <c r="I6" s="53">
        <v>0</v>
      </c>
      <c r="J6" s="53">
        <v>2</v>
      </c>
    </row>
    <row r="7" spans="1:11" ht="17.25" customHeight="1">
      <c r="A7" s="53" t="s">
        <v>210</v>
      </c>
      <c r="B7" s="41">
        <v>24</v>
      </c>
      <c r="C7" s="41">
        <v>3</v>
      </c>
      <c r="D7" s="41">
        <v>0</v>
      </c>
      <c r="E7" s="53">
        <v>150</v>
      </c>
      <c r="F7" s="53">
        <v>2</v>
      </c>
      <c r="G7" s="53">
        <v>12</v>
      </c>
      <c r="H7" s="53">
        <v>2.2999999999999998</v>
      </c>
      <c r="I7" s="53">
        <v>0</v>
      </c>
      <c r="J7" s="53">
        <v>1.7</v>
      </c>
    </row>
    <row r="8" spans="1:11" ht="17.25" customHeight="1">
      <c r="A8" s="53" t="s">
        <v>211</v>
      </c>
      <c r="B8" s="41">
        <v>150</v>
      </c>
      <c r="C8" s="41">
        <v>9</v>
      </c>
      <c r="D8" s="41">
        <v>0</v>
      </c>
      <c r="E8" s="53">
        <v>150</v>
      </c>
      <c r="F8" s="53">
        <v>3.2</v>
      </c>
      <c r="G8" s="53">
        <v>11</v>
      </c>
      <c r="H8" s="53">
        <v>2.5</v>
      </c>
      <c r="I8" s="53">
        <v>0</v>
      </c>
      <c r="J8" s="53">
        <v>2</v>
      </c>
    </row>
    <row r="9" spans="1:11" ht="17.25" customHeight="1">
      <c r="A9" s="53" t="s">
        <v>212</v>
      </c>
      <c r="B9" s="42">
        <v>300</v>
      </c>
      <c r="C9" s="42">
        <v>15</v>
      </c>
      <c r="D9" s="42">
        <v>0</v>
      </c>
      <c r="E9" s="53">
        <v>150</v>
      </c>
      <c r="F9" s="55">
        <v>4</v>
      </c>
      <c r="G9" s="55">
        <v>11</v>
      </c>
      <c r="H9" s="55">
        <v>1.5</v>
      </c>
      <c r="I9" s="55">
        <v>0</v>
      </c>
      <c r="J9" s="55">
        <v>2</v>
      </c>
    </row>
    <row r="10" spans="1:11" ht="17.25" customHeight="1">
      <c r="A10" s="53" t="s">
        <v>213</v>
      </c>
      <c r="B10" s="41">
        <v>16</v>
      </c>
      <c r="C10" s="41">
        <v>4</v>
      </c>
      <c r="D10" s="41">
        <v>0</v>
      </c>
      <c r="E10" s="53">
        <v>150</v>
      </c>
      <c r="F10" s="54">
        <v>2</v>
      </c>
      <c r="G10" s="52">
        <v>8</v>
      </c>
      <c r="H10" s="54">
        <v>1</v>
      </c>
      <c r="I10" s="52">
        <v>0</v>
      </c>
      <c r="J10" s="52">
        <v>2.5</v>
      </c>
    </row>
    <row r="11" spans="1:11" ht="17.25" customHeight="1">
      <c r="A11" s="53" t="s">
        <v>214</v>
      </c>
      <c r="B11" s="41">
        <v>24</v>
      </c>
      <c r="C11" s="41">
        <v>3</v>
      </c>
      <c r="D11" s="41">
        <v>0</v>
      </c>
      <c r="E11" s="53">
        <v>150</v>
      </c>
      <c r="F11" s="54">
        <v>2</v>
      </c>
      <c r="G11" s="52">
        <v>8</v>
      </c>
      <c r="H11" s="54">
        <v>1</v>
      </c>
      <c r="I11" s="52">
        <v>0</v>
      </c>
      <c r="J11" s="52">
        <v>2.5</v>
      </c>
    </row>
    <row r="12" spans="1:11" ht="17.25" customHeight="1">
      <c r="A12" s="53" t="s">
        <v>215</v>
      </c>
      <c r="B12" s="41">
        <v>150</v>
      </c>
      <c r="C12" s="41">
        <v>9</v>
      </c>
      <c r="D12" s="41">
        <v>0</v>
      </c>
      <c r="E12" s="53">
        <v>150</v>
      </c>
      <c r="F12" s="54">
        <v>1</v>
      </c>
      <c r="G12" s="52">
        <v>8</v>
      </c>
      <c r="H12" s="54">
        <v>1.5</v>
      </c>
      <c r="I12" s="52">
        <v>0</v>
      </c>
      <c r="J12" s="52">
        <v>3.5</v>
      </c>
    </row>
    <row r="13" spans="1:11" ht="17.25" customHeight="1">
      <c r="A13" s="53" t="s">
        <v>216</v>
      </c>
      <c r="B13" s="42">
        <v>300</v>
      </c>
      <c r="C13" s="42">
        <v>16</v>
      </c>
      <c r="D13" s="42">
        <v>0</v>
      </c>
      <c r="E13" s="53">
        <v>150</v>
      </c>
      <c r="F13" s="55">
        <v>1.5</v>
      </c>
      <c r="G13" s="55">
        <v>10</v>
      </c>
      <c r="H13" s="55">
        <v>4</v>
      </c>
      <c r="I13" s="55">
        <v>0</v>
      </c>
      <c r="J13" s="55">
        <v>2</v>
      </c>
    </row>
    <row r="14" spans="1:11" ht="17.25" customHeight="1">
      <c r="A14" s="56" t="s">
        <v>536</v>
      </c>
      <c r="B14" s="57">
        <v>24</v>
      </c>
      <c r="C14" s="56">
        <v>3</v>
      </c>
      <c r="D14" s="56">
        <v>0</v>
      </c>
      <c r="E14" s="56">
        <v>150</v>
      </c>
      <c r="F14" s="57">
        <v>2</v>
      </c>
      <c r="G14" s="56">
        <v>10</v>
      </c>
      <c r="H14" s="57">
        <v>1.5</v>
      </c>
      <c r="I14" s="58">
        <v>0</v>
      </c>
      <c r="J14" s="59">
        <v>1.5</v>
      </c>
      <c r="K14" s="51"/>
    </row>
    <row r="15" spans="1:11" ht="17.25" customHeight="1">
      <c r="A15" s="56" t="s">
        <v>540</v>
      </c>
      <c r="B15" s="57">
        <v>18</v>
      </c>
      <c r="C15" s="56">
        <v>4</v>
      </c>
      <c r="D15" s="56">
        <v>0</v>
      </c>
      <c r="E15" s="56">
        <v>150</v>
      </c>
      <c r="F15" s="56">
        <v>3</v>
      </c>
      <c r="G15" s="56">
        <v>10</v>
      </c>
      <c r="H15" s="59">
        <v>3</v>
      </c>
      <c r="I15" s="58">
        <v>0</v>
      </c>
      <c r="J15" s="59">
        <v>1</v>
      </c>
      <c r="K15" s="51"/>
    </row>
    <row r="16" spans="1:11" ht="17.25" customHeight="1">
      <c r="A16" s="56" t="s">
        <v>543</v>
      </c>
      <c r="B16" s="57">
        <v>150</v>
      </c>
      <c r="C16" s="56">
        <v>9</v>
      </c>
      <c r="D16" s="56">
        <v>0</v>
      </c>
      <c r="E16" s="56">
        <v>150</v>
      </c>
      <c r="F16" s="58">
        <v>2</v>
      </c>
      <c r="G16" s="56">
        <v>10</v>
      </c>
      <c r="H16" s="59">
        <v>1.7</v>
      </c>
      <c r="I16" s="58">
        <v>0</v>
      </c>
      <c r="J16" s="59">
        <v>1.3</v>
      </c>
      <c r="K16" s="51"/>
    </row>
    <row r="17" spans="1:10" ht="17.25" customHeight="1">
      <c r="A17" s="56" t="s">
        <v>546</v>
      </c>
      <c r="B17" s="57">
        <v>300</v>
      </c>
      <c r="C17" s="58">
        <v>15</v>
      </c>
      <c r="D17" s="56">
        <v>0</v>
      </c>
      <c r="E17" s="56">
        <v>150</v>
      </c>
      <c r="F17" s="57">
        <v>1.7</v>
      </c>
      <c r="G17" s="58">
        <v>10</v>
      </c>
      <c r="H17" s="59">
        <v>1.8</v>
      </c>
      <c r="I17" s="58">
        <v>0</v>
      </c>
      <c r="J17" s="59">
        <v>1</v>
      </c>
    </row>
    <row r="18" spans="1:10" ht="17.25" customHeight="1">
      <c r="A18" s="56" t="s">
        <v>549</v>
      </c>
      <c r="B18" s="59">
        <v>24</v>
      </c>
      <c r="C18" s="56">
        <v>3</v>
      </c>
      <c r="D18" s="56">
        <v>0</v>
      </c>
      <c r="E18" s="56">
        <v>150</v>
      </c>
      <c r="F18" s="57">
        <v>1.5</v>
      </c>
      <c r="G18" s="56">
        <v>10</v>
      </c>
      <c r="H18" s="59">
        <v>1</v>
      </c>
      <c r="I18" s="58">
        <v>0</v>
      </c>
      <c r="J18" s="59">
        <v>1.2</v>
      </c>
    </row>
    <row r="19" spans="1:10" ht="17.25" customHeight="1">
      <c r="A19" s="56" t="s">
        <v>552</v>
      </c>
      <c r="B19" s="59">
        <v>18</v>
      </c>
      <c r="C19" s="56">
        <v>4</v>
      </c>
      <c r="D19" s="56">
        <v>0</v>
      </c>
      <c r="E19" s="56">
        <v>150</v>
      </c>
      <c r="F19" s="57">
        <v>1.9</v>
      </c>
      <c r="G19" s="56">
        <v>10</v>
      </c>
      <c r="H19" s="59">
        <v>1</v>
      </c>
      <c r="I19" s="58">
        <v>0</v>
      </c>
      <c r="J19" s="59">
        <v>1.3</v>
      </c>
    </row>
    <row r="20" spans="1:10" ht="17.25" customHeight="1">
      <c r="A20" s="56" t="s">
        <v>555</v>
      </c>
      <c r="B20" s="59">
        <v>150</v>
      </c>
      <c r="C20" s="56">
        <v>9</v>
      </c>
      <c r="D20" s="56">
        <v>0</v>
      </c>
      <c r="E20" s="56">
        <v>150</v>
      </c>
      <c r="F20" s="58">
        <v>3</v>
      </c>
      <c r="G20" s="56">
        <v>10</v>
      </c>
      <c r="H20" s="59">
        <v>1.2</v>
      </c>
      <c r="I20" s="58">
        <v>0</v>
      </c>
      <c r="J20" s="59">
        <v>1.8</v>
      </c>
    </row>
    <row r="21" spans="1:10" ht="17.25" customHeight="1">
      <c r="A21" s="56" t="s">
        <v>558</v>
      </c>
      <c r="B21" s="59">
        <v>300</v>
      </c>
      <c r="C21" s="58">
        <v>15</v>
      </c>
      <c r="D21" s="56">
        <v>0</v>
      </c>
      <c r="E21" s="56">
        <v>150</v>
      </c>
      <c r="F21" s="58">
        <v>4</v>
      </c>
      <c r="G21" s="58">
        <v>10</v>
      </c>
      <c r="H21" s="59">
        <v>1.5</v>
      </c>
      <c r="I21" s="58">
        <v>0</v>
      </c>
      <c r="J21" s="59">
        <v>1</v>
      </c>
    </row>
    <row r="22" spans="1:10" ht="17.25" customHeight="1"/>
    <row r="23" spans="1:10" ht="17.25" customHeight="1"/>
    <row r="24" spans="1:10" ht="17.25" customHeight="1"/>
    <row r="25" spans="1:10" ht="17.25" customHeight="1"/>
    <row r="26" spans="1:10" ht="17.25" customHeight="1"/>
    <row r="27" spans="1:10" ht="17.25" customHeight="1"/>
    <row r="28" spans="1:10" ht="17.25" customHeight="1"/>
    <row r="29" spans="1:10" ht="17.25" customHeight="1"/>
    <row r="30" spans="1:10" ht="17.25" customHeight="1"/>
    <row r="31" spans="1:10" ht="17.25" customHeight="1"/>
    <row r="32" spans="1:10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7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B21" sqref="B21"/>
    </sheetView>
  </sheetViews>
  <sheetFormatPr defaultColWidth="14.42578125" defaultRowHeight="15" customHeight="1"/>
  <cols>
    <col min="1" max="1" width="28.42578125" customWidth="1"/>
    <col min="2" max="2" width="35.140625" customWidth="1"/>
    <col min="3" max="4" width="31.85546875" customWidth="1"/>
    <col min="5" max="5" width="33" customWidth="1"/>
    <col min="6" max="6" width="12.7109375" customWidth="1"/>
    <col min="7" max="7" width="54.7109375" customWidth="1"/>
    <col min="8" max="8" width="25.5703125" customWidth="1"/>
    <col min="9" max="26" width="8.7109375" customWidth="1"/>
  </cols>
  <sheetData>
    <row r="1" spans="1:8" ht="17.25" customHeight="1">
      <c r="A1" s="50" t="s">
        <v>0</v>
      </c>
      <c r="B1" s="50" t="s">
        <v>27</v>
      </c>
      <c r="C1" s="49" t="s">
        <v>28</v>
      </c>
      <c r="D1" s="50" t="s">
        <v>217</v>
      </c>
      <c r="E1" s="51" t="s">
        <v>528</v>
      </c>
      <c r="F1" s="50" t="s">
        <v>37</v>
      </c>
      <c r="G1" s="8" t="s">
        <v>218</v>
      </c>
    </row>
    <row r="2" spans="1:8" ht="17.25" customHeight="1">
      <c r="A2" s="50" t="s">
        <v>205</v>
      </c>
      <c r="B2" s="50" t="s">
        <v>219</v>
      </c>
      <c r="C2" s="49" t="s">
        <v>83</v>
      </c>
      <c r="D2" s="50" t="s">
        <v>220</v>
      </c>
      <c r="E2" s="51" t="s">
        <v>529</v>
      </c>
      <c r="F2" s="49" t="s">
        <v>221</v>
      </c>
      <c r="G2" s="8" t="s">
        <v>222</v>
      </c>
    </row>
    <row r="3" spans="1:8" ht="17.25" customHeight="1">
      <c r="A3" s="50" t="s">
        <v>206</v>
      </c>
      <c r="B3" s="50" t="s">
        <v>223</v>
      </c>
      <c r="C3" s="49" t="s">
        <v>44</v>
      </c>
      <c r="D3" s="50" t="s">
        <v>220</v>
      </c>
      <c r="E3" s="51" t="s">
        <v>529</v>
      </c>
      <c r="F3" s="49" t="s">
        <v>224</v>
      </c>
      <c r="G3" s="8" t="s">
        <v>225</v>
      </c>
    </row>
    <row r="4" spans="1:8" ht="17.25" customHeight="1">
      <c r="A4" s="50" t="s">
        <v>207</v>
      </c>
      <c r="B4" s="50" t="s">
        <v>226</v>
      </c>
      <c r="C4" s="49" t="s">
        <v>39</v>
      </c>
      <c r="D4" s="50" t="s">
        <v>530</v>
      </c>
      <c r="E4" s="51" t="s">
        <v>531</v>
      </c>
      <c r="F4" s="49" t="s">
        <v>227</v>
      </c>
      <c r="G4" s="8" t="s">
        <v>228</v>
      </c>
      <c r="H4" s="8"/>
    </row>
    <row r="5" spans="1:8" ht="17.25" customHeight="1">
      <c r="A5" s="50" t="s">
        <v>208</v>
      </c>
      <c r="B5" s="50" t="s">
        <v>229</v>
      </c>
      <c r="C5" s="49" t="s">
        <v>39</v>
      </c>
      <c r="D5" s="50" t="s">
        <v>230</v>
      </c>
      <c r="E5" s="51" t="s">
        <v>531</v>
      </c>
      <c r="F5" s="49" t="s">
        <v>231</v>
      </c>
      <c r="G5" s="8" t="s">
        <v>232</v>
      </c>
    </row>
    <row r="6" spans="1:8" ht="17.25" customHeight="1">
      <c r="A6" s="50" t="s">
        <v>209</v>
      </c>
      <c r="B6" s="50" t="s">
        <v>233</v>
      </c>
      <c r="C6" s="49" t="s">
        <v>44</v>
      </c>
      <c r="D6" s="50" t="s">
        <v>220</v>
      </c>
      <c r="E6" s="51" t="s">
        <v>529</v>
      </c>
      <c r="F6" s="49" t="s">
        <v>234</v>
      </c>
    </row>
    <row r="7" spans="1:8" ht="17.25" customHeight="1">
      <c r="A7" s="50" t="s">
        <v>210</v>
      </c>
      <c r="B7" s="50" t="s">
        <v>235</v>
      </c>
      <c r="C7" s="49" t="s">
        <v>83</v>
      </c>
      <c r="D7" s="50" t="s">
        <v>220</v>
      </c>
      <c r="E7" s="51" t="s">
        <v>531</v>
      </c>
      <c r="F7" s="49" t="s">
        <v>236</v>
      </c>
    </row>
    <row r="8" spans="1:8" ht="17.25" customHeight="1">
      <c r="A8" s="50" t="s">
        <v>211</v>
      </c>
      <c r="B8" s="50" t="s">
        <v>237</v>
      </c>
      <c r="C8" s="49" t="s">
        <v>39</v>
      </c>
      <c r="D8" s="50" t="s">
        <v>530</v>
      </c>
      <c r="E8" s="51" t="s">
        <v>531</v>
      </c>
      <c r="F8" s="49" t="s">
        <v>238</v>
      </c>
    </row>
    <row r="9" spans="1:8" ht="17.25" customHeight="1">
      <c r="A9" s="50" t="s">
        <v>212</v>
      </c>
      <c r="B9" s="50" t="s">
        <v>239</v>
      </c>
      <c r="C9" s="49" t="s">
        <v>39</v>
      </c>
      <c r="D9" s="50" t="s">
        <v>230</v>
      </c>
      <c r="E9" s="51" t="s">
        <v>531</v>
      </c>
      <c r="F9" s="49" t="s">
        <v>240</v>
      </c>
    </row>
    <row r="10" spans="1:8" ht="17.25" customHeight="1">
      <c r="A10" s="50" t="s">
        <v>213</v>
      </c>
      <c r="B10" s="50" t="s">
        <v>241</v>
      </c>
      <c r="C10" s="49" t="s">
        <v>83</v>
      </c>
      <c r="D10" s="50" t="s">
        <v>220</v>
      </c>
      <c r="E10" s="51" t="s">
        <v>529</v>
      </c>
      <c r="F10" s="49" t="s">
        <v>532</v>
      </c>
    </row>
    <row r="11" spans="1:8" ht="17.25" customHeight="1">
      <c r="A11" s="50" t="s">
        <v>214</v>
      </c>
      <c r="B11" s="50" t="s">
        <v>242</v>
      </c>
      <c r="C11" s="49" t="s">
        <v>39</v>
      </c>
      <c r="D11" s="50" t="s">
        <v>220</v>
      </c>
      <c r="E11" s="51" t="s">
        <v>529</v>
      </c>
      <c r="F11" s="49" t="s">
        <v>533</v>
      </c>
    </row>
    <row r="12" spans="1:8" ht="17.25" customHeight="1">
      <c r="A12" s="50" t="s">
        <v>215</v>
      </c>
      <c r="B12" s="50" t="s">
        <v>243</v>
      </c>
      <c r="C12" s="49" t="s">
        <v>39</v>
      </c>
      <c r="D12" s="50" t="s">
        <v>530</v>
      </c>
      <c r="E12" s="51" t="s">
        <v>529</v>
      </c>
      <c r="F12" s="51" t="s">
        <v>534</v>
      </c>
    </row>
    <row r="13" spans="1:8" ht="17.25" customHeight="1">
      <c r="A13" s="50" t="s">
        <v>216</v>
      </c>
      <c r="B13" s="50" t="s">
        <v>244</v>
      </c>
      <c r="C13" s="49" t="s">
        <v>44</v>
      </c>
      <c r="D13" s="50" t="s">
        <v>230</v>
      </c>
      <c r="E13" s="51" t="s">
        <v>531</v>
      </c>
      <c r="F13" s="51" t="s">
        <v>535</v>
      </c>
    </row>
    <row r="14" spans="1:8" ht="17.25" customHeight="1">
      <c r="A14" s="50" t="s">
        <v>536</v>
      </c>
      <c r="B14" s="50" t="s">
        <v>537</v>
      </c>
      <c r="C14" s="49" t="s">
        <v>39</v>
      </c>
      <c r="D14" s="50" t="s">
        <v>220</v>
      </c>
      <c r="E14" s="51" t="s">
        <v>538</v>
      </c>
      <c r="F14" s="51" t="s">
        <v>539</v>
      </c>
    </row>
    <row r="15" spans="1:8" ht="17.25" customHeight="1">
      <c r="A15" s="50" t="s">
        <v>540</v>
      </c>
      <c r="B15" s="50" t="s">
        <v>541</v>
      </c>
      <c r="C15" s="49" t="s">
        <v>49</v>
      </c>
      <c r="D15" s="50" t="s">
        <v>220</v>
      </c>
      <c r="E15" s="51" t="s">
        <v>538</v>
      </c>
      <c r="F15" s="51" t="s">
        <v>542</v>
      </c>
    </row>
    <row r="16" spans="1:8" ht="17.25" customHeight="1">
      <c r="A16" s="50" t="s">
        <v>543</v>
      </c>
      <c r="B16" s="50" t="s">
        <v>544</v>
      </c>
      <c r="C16" s="49" t="s">
        <v>39</v>
      </c>
      <c r="D16" s="50" t="s">
        <v>530</v>
      </c>
      <c r="E16" s="51" t="s">
        <v>538</v>
      </c>
      <c r="F16" s="51" t="s">
        <v>545</v>
      </c>
    </row>
    <row r="17" spans="1:6" ht="17.25" customHeight="1">
      <c r="A17" s="50" t="s">
        <v>546</v>
      </c>
      <c r="B17" s="50" t="s">
        <v>547</v>
      </c>
      <c r="C17" s="49" t="s">
        <v>39</v>
      </c>
      <c r="D17" s="50" t="s">
        <v>230</v>
      </c>
      <c r="E17" s="51" t="s">
        <v>538</v>
      </c>
      <c r="F17" s="51" t="s">
        <v>548</v>
      </c>
    </row>
    <row r="18" spans="1:6" ht="17.25" customHeight="1">
      <c r="A18" s="50" t="s">
        <v>549</v>
      </c>
      <c r="B18" s="50" t="s">
        <v>550</v>
      </c>
      <c r="C18" s="49" t="s">
        <v>39</v>
      </c>
      <c r="D18" s="50" t="s">
        <v>220</v>
      </c>
      <c r="E18" s="51" t="s">
        <v>529</v>
      </c>
      <c r="F18" s="51" t="s">
        <v>551</v>
      </c>
    </row>
    <row r="19" spans="1:6" ht="17.25" customHeight="1">
      <c r="A19" s="50" t="s">
        <v>552</v>
      </c>
      <c r="B19" s="50" t="s">
        <v>553</v>
      </c>
      <c r="C19" s="49" t="s">
        <v>83</v>
      </c>
      <c r="D19" s="50" t="s">
        <v>220</v>
      </c>
      <c r="E19" s="51" t="s">
        <v>529</v>
      </c>
      <c r="F19" s="51" t="s">
        <v>554</v>
      </c>
    </row>
    <row r="20" spans="1:6" ht="17.25" customHeight="1">
      <c r="A20" s="50" t="s">
        <v>555</v>
      </c>
      <c r="B20" s="50" t="s">
        <v>556</v>
      </c>
      <c r="C20" s="49" t="s">
        <v>39</v>
      </c>
      <c r="D20" s="50" t="s">
        <v>530</v>
      </c>
      <c r="E20" s="51" t="s">
        <v>529</v>
      </c>
      <c r="F20" s="51" t="s">
        <v>557</v>
      </c>
    </row>
    <row r="21" spans="1:6" ht="17.25" customHeight="1">
      <c r="A21" s="50" t="s">
        <v>558</v>
      </c>
      <c r="B21" s="50" t="s">
        <v>559</v>
      </c>
      <c r="C21" s="49" t="s">
        <v>39</v>
      </c>
      <c r="D21" s="50" t="s">
        <v>230</v>
      </c>
      <c r="E21" s="51" t="s">
        <v>529</v>
      </c>
      <c r="F21" s="51" t="s">
        <v>560</v>
      </c>
    </row>
    <row r="22" spans="1:6" ht="17.25" customHeight="1"/>
    <row r="23" spans="1:6" ht="17.25" customHeight="1"/>
    <row r="24" spans="1:6" ht="17.25" customHeight="1"/>
    <row r="25" spans="1:6" ht="17.25" customHeight="1"/>
    <row r="26" spans="1:6" ht="17.25" customHeight="1"/>
    <row r="27" spans="1:6" ht="17.25" customHeight="1"/>
    <row r="28" spans="1:6" ht="17.25" customHeight="1"/>
    <row r="29" spans="1:6" ht="17.25" customHeight="1"/>
    <row r="30" spans="1:6" ht="17.25" customHeight="1"/>
    <row r="31" spans="1:6" ht="17.25" customHeight="1"/>
    <row r="32" spans="1:6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7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8"/>
  <sheetViews>
    <sheetView tabSelected="1" topLeftCell="A40" workbookViewId="0">
      <selection activeCell="H62" sqref="H62"/>
    </sheetView>
  </sheetViews>
  <sheetFormatPr defaultColWidth="14.42578125" defaultRowHeight="15" customHeight="1"/>
  <cols>
    <col min="1" max="1" width="13" customWidth="1"/>
    <col min="2" max="2" width="18.7109375" customWidth="1"/>
    <col min="3" max="3" width="5.7109375" customWidth="1"/>
    <col min="4" max="4" width="9.140625" customWidth="1"/>
    <col min="5" max="5" width="9.7109375" customWidth="1"/>
    <col min="6" max="6" width="10" customWidth="1"/>
    <col min="7" max="7" width="7.85546875" customWidth="1"/>
    <col min="8" max="8" width="52" customWidth="1"/>
    <col min="9" max="9" width="14" customWidth="1"/>
    <col min="10" max="10" width="9.5703125" customWidth="1"/>
    <col min="11" max="12" width="8.7109375" customWidth="1"/>
    <col min="13" max="13" width="21.28515625" customWidth="1"/>
    <col min="14" max="14" width="12" customWidth="1"/>
    <col min="15" max="15" width="9.5703125" customWidth="1"/>
    <col min="16" max="26" width="8.7109375" customWidth="1"/>
  </cols>
  <sheetData>
    <row r="1" spans="1:15" ht="17.25" customHeight="1">
      <c r="A1" s="9" t="s">
        <v>0</v>
      </c>
      <c r="B1" s="9" t="s">
        <v>27</v>
      </c>
      <c r="C1" s="9" t="s">
        <v>245</v>
      </c>
      <c r="D1" s="9" t="s">
        <v>30</v>
      </c>
      <c r="E1" s="9" t="s">
        <v>246</v>
      </c>
      <c r="F1" s="9" t="s">
        <v>247</v>
      </c>
      <c r="G1" s="9" t="s">
        <v>248</v>
      </c>
      <c r="H1" s="9" t="s">
        <v>37</v>
      </c>
      <c r="I1" s="9" t="s">
        <v>249</v>
      </c>
      <c r="J1" s="9" t="s">
        <v>250</v>
      </c>
      <c r="K1" s="9"/>
      <c r="L1" s="9"/>
      <c r="M1" s="9" t="s">
        <v>251</v>
      </c>
      <c r="N1" s="9"/>
      <c r="O1" s="9"/>
    </row>
    <row r="2" spans="1:15" ht="17.25" customHeight="1">
      <c r="A2" s="10" t="s">
        <v>252</v>
      </c>
      <c r="B2" s="10" t="str">
        <f t="shared" ref="B2:B57" si="0">O2&amp;"의 룬 (" &amp;M2&amp; ")"</f>
        <v>힘의 룬 (전사)</v>
      </c>
      <c r="C2" s="10"/>
      <c r="D2" s="10" t="s">
        <v>41</v>
      </c>
      <c r="E2" s="10" t="s">
        <v>29</v>
      </c>
      <c r="F2" s="10" t="s">
        <v>40</v>
      </c>
      <c r="G2" s="10" t="s">
        <v>122</v>
      </c>
      <c r="H2" s="10" t="str">
        <f>M2 &amp; "의 " &amp; N2 &amp; "을 "&amp;J2&amp;"% 증가시킨다."</f>
        <v>전사의 공격력을 10% 증가시킨다.</v>
      </c>
      <c r="I2" s="10" t="s">
        <v>253</v>
      </c>
      <c r="J2" s="4">
        <v>10</v>
      </c>
      <c r="K2" s="4"/>
      <c r="L2" s="4"/>
      <c r="M2" s="4" t="str" cm="1">
        <f t="array" ref="M2" xml:space="preserve"> _xlfn.SWITCH(F2,"Warrior","전사","Mage","마법사","Archer","궁수","전체")</f>
        <v>전사</v>
      </c>
      <c r="N2" s="4" t="str" cm="1">
        <f t="array" ref="N2">_xlfn.SWITCH(I2,"Atk","공격력","HP","체력","Crit_Chance","치명타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2" s="4" t="str">
        <f t="shared" ref="O2:O58" si="1">IF(N2="공격력","힘",
 IF(N2="체력","생명",
 IF(N2="치명타 확률","매",
 IF(N2="치명타 배율","말벌",
 IF(N2="공격속도","공속",
 IF(N2="쿨타임 감소","쿨감",
 IF(N2="퀘스트 보상","풍양",
 IF(N2="적 처치 보상","수렵",N2))))))))</f>
        <v>힘</v>
      </c>
    </row>
    <row r="3" spans="1:15" ht="17.25" customHeight="1">
      <c r="A3" s="10" t="s">
        <v>254</v>
      </c>
      <c r="B3" s="10" t="str">
        <f t="shared" si="0"/>
        <v>생명의 룬 (전사)</v>
      </c>
      <c r="C3" s="10"/>
      <c r="D3" s="10" t="s">
        <v>41</v>
      </c>
      <c r="E3" s="10" t="s">
        <v>29</v>
      </c>
      <c r="F3" s="10" t="s">
        <v>40</v>
      </c>
      <c r="G3" s="10" t="s">
        <v>122</v>
      </c>
      <c r="H3" s="10" t="str">
        <f t="shared" ref="H3:H9" si="2">M3 &amp; "의 " &amp; N3 &amp; "을 "&amp;J3&amp;"% 증가시킨다."</f>
        <v>전사의 체력을 10% 증가시킨다.</v>
      </c>
      <c r="I3" s="10" t="s">
        <v>255</v>
      </c>
      <c r="J3" s="4">
        <v>10</v>
      </c>
      <c r="K3" s="4"/>
      <c r="L3" s="4"/>
      <c r="M3" s="4" t="str" cm="1">
        <f t="array" ref="M3" xml:space="preserve"> _xlfn.SWITCH(F3,"Warrior","전사","Mage","마법사","Archer","궁수","전체")</f>
        <v>전사</v>
      </c>
      <c r="N3" s="4" t="str" cm="1">
        <f t="array" ref="N3">_xlfn.SWITCH(I3,"Atk","공격력","HP","체력","Crit_Chance","치명타 확률","Crit_Mult","치명타 배율","Atk_Cooldown","공격속도","Skill_Cooldown","쿨타임 감소","Labor_Gold","퀘스트 보상","Hunt_Gold","적 처치 보상")</f>
        <v>체력</v>
      </c>
      <c r="O3" s="4" t="str">
        <f t="shared" si="1"/>
        <v>생명</v>
      </c>
    </row>
    <row r="4" spans="1:15" ht="17.25" customHeight="1">
      <c r="A4" s="10" t="s">
        <v>256</v>
      </c>
      <c r="B4" s="10" t="str">
        <f t="shared" si="0"/>
        <v>힘의 룬 (궁수)</v>
      </c>
      <c r="C4" s="10"/>
      <c r="D4" s="10" t="s">
        <v>41</v>
      </c>
      <c r="E4" s="10" t="s">
        <v>29</v>
      </c>
      <c r="F4" s="10" t="s">
        <v>45</v>
      </c>
      <c r="G4" s="10" t="s">
        <v>122</v>
      </c>
      <c r="H4" s="10" t="str">
        <f t="shared" si="2"/>
        <v>궁수의 공격력을 10% 증가시킨다.</v>
      </c>
      <c r="I4" s="10" t="s">
        <v>253</v>
      </c>
      <c r="J4" s="4">
        <v>10</v>
      </c>
      <c r="K4" s="4"/>
      <c r="L4" s="4"/>
      <c r="M4" s="4" t="str" cm="1">
        <f t="array" ref="M4" xml:space="preserve"> _xlfn.SWITCH(F4,"Warrior","전사","Mage","마법사","Archer","궁수","전체")</f>
        <v>궁수</v>
      </c>
      <c r="N4" s="4" t="str" cm="1">
        <f t="array" ref="N4">_xlfn.SWITCH(I4,"Atk","공격력","HP","체력","Crit_Chance","치명타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4" s="4" t="str">
        <f t="shared" si="1"/>
        <v>힘</v>
      </c>
    </row>
    <row r="5" spans="1:15" ht="17.25" customHeight="1">
      <c r="A5" s="10" t="s">
        <v>257</v>
      </c>
      <c r="B5" s="10" t="str">
        <f t="shared" si="0"/>
        <v>생명의 룬 (궁수)</v>
      </c>
      <c r="C5" s="10"/>
      <c r="D5" s="10" t="s">
        <v>41</v>
      </c>
      <c r="E5" s="10" t="s">
        <v>29</v>
      </c>
      <c r="F5" s="10" t="s">
        <v>45</v>
      </c>
      <c r="G5" s="10" t="s">
        <v>122</v>
      </c>
      <c r="H5" s="10" t="str">
        <f t="shared" si="2"/>
        <v>궁수의 체력을 10% 증가시킨다.</v>
      </c>
      <c r="I5" s="10" t="s">
        <v>255</v>
      </c>
      <c r="J5" s="4">
        <v>10</v>
      </c>
      <c r="K5" s="4"/>
      <c r="L5" s="4"/>
      <c r="M5" s="4" t="str" cm="1">
        <f t="array" ref="M5" xml:space="preserve"> _xlfn.SWITCH(F5,"Warrior","전사","Mage","마법사","Archer","궁수","전체")</f>
        <v>궁수</v>
      </c>
      <c r="N5" s="4" t="str" cm="1">
        <f t="array" ref="N5">_xlfn.SWITCH(I5,"Atk","공격력","HP","체력","Crit_Chance","치명타 확률","Crit_Mult","치명타 배율","Atk_Cooldown","공격속도","Skill_Cooldown","쿨타임 감소","Labor_Gold","퀘스트 보상","Hunt_Gold","적 처치 보상")</f>
        <v>체력</v>
      </c>
      <c r="O5" s="4" t="str">
        <f t="shared" si="1"/>
        <v>생명</v>
      </c>
    </row>
    <row r="6" spans="1:15" ht="17.25" customHeight="1">
      <c r="A6" s="10" t="s">
        <v>258</v>
      </c>
      <c r="B6" s="10" t="str">
        <f t="shared" si="0"/>
        <v>힘의 룬 (마법사)</v>
      </c>
      <c r="C6" s="10"/>
      <c r="D6" s="10" t="s">
        <v>41</v>
      </c>
      <c r="E6" s="10" t="s">
        <v>29</v>
      </c>
      <c r="F6" s="10" t="s">
        <v>50</v>
      </c>
      <c r="G6" s="10" t="s">
        <v>122</v>
      </c>
      <c r="H6" s="10" t="str">
        <f t="shared" si="2"/>
        <v>마법사의 공격력을 10% 증가시킨다.</v>
      </c>
      <c r="I6" s="10" t="s">
        <v>253</v>
      </c>
      <c r="J6" s="4">
        <v>10</v>
      </c>
      <c r="K6" s="4"/>
      <c r="L6" s="4"/>
      <c r="M6" s="4" t="str" cm="1">
        <f t="array" ref="M6" xml:space="preserve"> _xlfn.SWITCH(F6,"Warrior","전사","Mage","마법사","Archer","궁수","전체")</f>
        <v>마법사</v>
      </c>
      <c r="N6" s="4" t="str" cm="1">
        <f t="array" ref="N6">_xlfn.SWITCH(I6,"Atk","공격력","HP","체력","Crit_Chance","치명타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6" s="4" t="str">
        <f t="shared" si="1"/>
        <v>힘</v>
      </c>
    </row>
    <row r="7" spans="1:15" ht="17.25" customHeight="1">
      <c r="A7" s="10" t="s">
        <v>565</v>
      </c>
      <c r="B7" s="10" t="str">
        <f t="shared" si="0"/>
        <v>생명의 룬 (마법사)</v>
      </c>
      <c r="C7" s="11"/>
      <c r="D7" s="10" t="s">
        <v>41</v>
      </c>
      <c r="E7" s="10" t="s">
        <v>29</v>
      </c>
      <c r="F7" s="10" t="s">
        <v>50</v>
      </c>
      <c r="G7" s="10" t="s">
        <v>122</v>
      </c>
      <c r="H7" s="10" t="str">
        <f t="shared" si="2"/>
        <v>마법사의 체력을 10% 증가시킨다.</v>
      </c>
      <c r="I7" s="10" t="s">
        <v>255</v>
      </c>
      <c r="J7" s="4">
        <v>10</v>
      </c>
      <c r="K7" s="4"/>
      <c r="L7" s="4"/>
      <c r="M7" s="4" t="str" cm="1">
        <f t="array" ref="M7" xml:space="preserve"> _xlfn.SWITCH(F7,"Warrior","전사","Mage","마법사","Archer","궁수","전체")</f>
        <v>마법사</v>
      </c>
      <c r="N7" s="4" t="str" cm="1">
        <f t="array" ref="N7">_xlfn.SWITCH(I7,"Atk","공격력","HP","체력","Crit_Chance","치명타 확률","Crit_Mult","치명타 배율","Atk_Cooldown","공격속도","Skill_Cooldown","쿨타임 감소","Labor_Gold","퀘스트 보상","Hunt_Gold","적 처치 보상")</f>
        <v>체력</v>
      </c>
      <c r="O7" s="4" t="str">
        <f t="shared" si="1"/>
        <v>생명</v>
      </c>
    </row>
    <row r="8" spans="1:15" ht="17.25" customHeight="1">
      <c r="A8" s="10" t="s">
        <v>566</v>
      </c>
      <c r="B8" s="10" t="str">
        <f t="shared" si="0"/>
        <v>풍양의 룬 (전체)</v>
      </c>
      <c r="C8" s="11"/>
      <c r="D8" s="10" t="s">
        <v>41</v>
      </c>
      <c r="E8" s="10" t="s">
        <v>561</v>
      </c>
      <c r="F8" s="10" t="s">
        <v>562</v>
      </c>
      <c r="G8" s="10" t="s">
        <v>562</v>
      </c>
      <c r="H8" s="10" t="str">
        <f>N8 &amp; "을 "&amp;J8&amp;"% 증가시킨다."</f>
        <v>퀘스트 보상을 10% 증가시킨다.</v>
      </c>
      <c r="I8" s="10" t="s">
        <v>563</v>
      </c>
      <c r="J8" s="4">
        <v>10</v>
      </c>
      <c r="K8" s="4"/>
      <c r="L8" s="4"/>
      <c r="M8" s="4" t="str" cm="1">
        <f t="array" ref="M8" xml:space="preserve"> _xlfn.SWITCH(F8,"Warrior","전사","Mage","마법사","Archer","궁수","전체")</f>
        <v>전체</v>
      </c>
      <c r="N8" s="4" t="str" cm="1">
        <f t="array" ref="N8">_xlfn.SWITCH(I8,"Atk","공격력","HP","체력","Crit_Chance","치명타 확률","Crit_Mult","치명타 배율","Atk_Cooldown","공격속도","Skill_Cooldown","쿨타임 감소","Labor_Gold","퀘스트 보상","Hunt_Gold","적 처치 보상")</f>
        <v>퀘스트 보상</v>
      </c>
      <c r="O8" s="4" t="str">
        <f t="shared" si="1"/>
        <v>풍양</v>
      </c>
    </row>
    <row r="9" spans="1:15" ht="17.25" customHeight="1">
      <c r="A9" s="10" t="s">
        <v>567</v>
      </c>
      <c r="B9" s="10" t="str">
        <f t="shared" si="0"/>
        <v>수렵의 룬 (전체)</v>
      </c>
      <c r="C9" s="11"/>
      <c r="D9" s="10" t="s">
        <v>41</v>
      </c>
      <c r="E9" s="10" t="s">
        <v>561</v>
      </c>
      <c r="F9" s="10" t="s">
        <v>562</v>
      </c>
      <c r="G9" s="10" t="s">
        <v>562</v>
      </c>
      <c r="H9" s="10" t="str">
        <f>N9 &amp; "을 "&amp;J9&amp;"% 증가시킨다."</f>
        <v>적 처치 보상을 10% 증가시킨다.</v>
      </c>
      <c r="I9" s="10" t="s">
        <v>564</v>
      </c>
      <c r="J9" s="4">
        <v>10</v>
      </c>
      <c r="K9" s="4"/>
      <c r="L9" s="4"/>
      <c r="M9" s="4" t="str" cm="1">
        <f t="array" ref="M9" xml:space="preserve"> _xlfn.SWITCH(F9,"Warrior","전사","Mage","마법사","Archer","궁수","전체")</f>
        <v>전체</v>
      </c>
      <c r="N9" s="4" t="str" cm="1">
        <f t="array" ref="N9">_xlfn.SWITCH(I9,"Atk","공격력","HP","체력","Crit_Chance","치명타 확률","Crit_Mult","치명타 배율","Atk_Cooldown","공격속도","Skill_Cooldown","쿨타임 감소","Labor_Gold","퀘스트 보상","Hunt_Gold","적 처치 보상")</f>
        <v>적 처치 보상</v>
      </c>
      <c r="O9" s="4" t="str">
        <f t="shared" si="1"/>
        <v>수렵</v>
      </c>
    </row>
    <row r="10" spans="1:15" ht="17.25" customHeight="1">
      <c r="A10" s="12" t="s">
        <v>259</v>
      </c>
      <c r="B10" s="12" t="str">
        <f t="shared" si="0"/>
        <v>힘의 룬 (전사)</v>
      </c>
      <c r="C10" s="13"/>
      <c r="D10" s="12" t="s">
        <v>46</v>
      </c>
      <c r="E10" s="12" t="s">
        <v>29</v>
      </c>
      <c r="F10" s="12" t="s">
        <v>40</v>
      </c>
      <c r="G10" s="12" t="s">
        <v>122</v>
      </c>
      <c r="H10" s="12" t="str">
        <f>M10 &amp; "의 " &amp; N10 &amp; "을 "&amp;J10&amp;"% 증가시킨다."</f>
        <v>전사의 공격력을 30% 증가시킨다.</v>
      </c>
      <c r="I10" s="12" t="s">
        <v>253</v>
      </c>
      <c r="J10" s="4">
        <v>30</v>
      </c>
      <c r="K10" s="4"/>
      <c r="L10" s="4"/>
      <c r="M10" s="4" t="str" cm="1">
        <f t="array" ref="M10" xml:space="preserve"> _xlfn.SWITCH(F10,"Warrior","전사","Mage","마법사","Archer","궁수","전체")</f>
        <v>전사</v>
      </c>
      <c r="N10" s="4" t="str" cm="1">
        <f t="array" ref="N10">_xlfn.SWITCH(I10,"Atk","공격력","HP","체력","Crit_Chance","치명타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10" s="4" t="str">
        <f t="shared" si="1"/>
        <v>힘</v>
      </c>
    </row>
    <row r="11" spans="1:15" ht="17.25" customHeight="1">
      <c r="A11" s="12" t="s">
        <v>260</v>
      </c>
      <c r="B11" s="12" t="str">
        <f t="shared" si="0"/>
        <v>생명의 룬 (전사)</v>
      </c>
      <c r="C11" s="13"/>
      <c r="D11" s="12" t="s">
        <v>46</v>
      </c>
      <c r="E11" s="12" t="s">
        <v>29</v>
      </c>
      <c r="F11" s="12" t="s">
        <v>40</v>
      </c>
      <c r="G11" s="12" t="s">
        <v>122</v>
      </c>
      <c r="H11" s="12" t="str">
        <f t="shared" ref="H11:H17" si="3">M11 &amp; "의 " &amp; N11 &amp; "을 "&amp;J11&amp;"% 증가시킨다."</f>
        <v>전사의 체력을 30% 증가시킨다.</v>
      </c>
      <c r="I11" s="12" t="s">
        <v>255</v>
      </c>
      <c r="J11" s="4">
        <v>30</v>
      </c>
      <c r="K11" s="4"/>
      <c r="L11" s="4"/>
      <c r="M11" s="4" t="str" cm="1">
        <f t="array" ref="M11" xml:space="preserve"> _xlfn.SWITCH(F11,"Warrior","전사","Mage","마법사","Archer","궁수","전체")</f>
        <v>전사</v>
      </c>
      <c r="N11" s="4" t="str" cm="1">
        <f t="array" ref="N11">_xlfn.SWITCH(I11,"Atk","공격력","HP","체력","Crit_Chance","치명타 확률","Crit_Mult","치명타 배율","Atk_Cooldown","공격속도","Skill_Cooldown","쿨타임 감소","Labor_Gold","퀘스트 보상","Hunt_Gold","적 처치 보상")</f>
        <v>체력</v>
      </c>
      <c r="O11" s="4" t="str">
        <f t="shared" si="1"/>
        <v>생명</v>
      </c>
    </row>
    <row r="12" spans="1:15" ht="17.25" customHeight="1">
      <c r="A12" s="12" t="s">
        <v>261</v>
      </c>
      <c r="B12" s="12" t="str">
        <f t="shared" si="0"/>
        <v>힘의 룬 (궁수)</v>
      </c>
      <c r="C12" s="13"/>
      <c r="D12" s="12" t="s">
        <v>46</v>
      </c>
      <c r="E12" s="12" t="s">
        <v>29</v>
      </c>
      <c r="F12" s="12" t="s">
        <v>45</v>
      </c>
      <c r="G12" s="12" t="s">
        <v>122</v>
      </c>
      <c r="H12" s="12" t="str">
        <f t="shared" si="3"/>
        <v>궁수의 공격력을 30% 증가시킨다.</v>
      </c>
      <c r="I12" s="12" t="s">
        <v>253</v>
      </c>
      <c r="J12" s="4">
        <v>30</v>
      </c>
      <c r="K12" s="4"/>
      <c r="L12" s="4"/>
      <c r="M12" s="4" t="str" cm="1">
        <f t="array" ref="M12" xml:space="preserve"> _xlfn.SWITCH(F12,"Warrior","전사","Mage","마법사","Archer","궁수","전체")</f>
        <v>궁수</v>
      </c>
      <c r="N12" s="4" t="str" cm="1">
        <f t="array" ref="N12">_xlfn.SWITCH(I12,"Atk","공격력","HP","체력","Crit_Chance","치명타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12" s="4" t="str">
        <f t="shared" si="1"/>
        <v>힘</v>
      </c>
    </row>
    <row r="13" spans="1:15" ht="17.25" customHeight="1">
      <c r="A13" s="12" t="s">
        <v>262</v>
      </c>
      <c r="B13" s="12" t="str">
        <f t="shared" si="0"/>
        <v>생명의 룬 (궁수)</v>
      </c>
      <c r="C13" s="13"/>
      <c r="D13" s="12" t="s">
        <v>46</v>
      </c>
      <c r="E13" s="12" t="s">
        <v>29</v>
      </c>
      <c r="F13" s="12" t="s">
        <v>45</v>
      </c>
      <c r="G13" s="12" t="s">
        <v>122</v>
      </c>
      <c r="H13" s="12" t="str">
        <f t="shared" si="3"/>
        <v>궁수의 체력을 30% 증가시킨다.</v>
      </c>
      <c r="I13" s="12" t="s">
        <v>255</v>
      </c>
      <c r="J13" s="4">
        <v>30</v>
      </c>
      <c r="K13" s="4"/>
      <c r="L13" s="4"/>
      <c r="M13" s="4" t="str" cm="1">
        <f t="array" ref="M13" xml:space="preserve"> _xlfn.SWITCH(F13,"Warrior","전사","Mage","마법사","Archer","궁수","전체")</f>
        <v>궁수</v>
      </c>
      <c r="N13" s="4" t="str" cm="1">
        <f t="array" ref="N13">_xlfn.SWITCH(I13,"Atk","공격력","HP","체력","Crit_Chance","치명타 확률","Crit_Mult","치명타 배율","Atk_Cooldown","공격속도","Skill_Cooldown","쿨타임 감소","Labor_Gold","퀘스트 보상","Hunt_Gold","적 처치 보상")</f>
        <v>체력</v>
      </c>
      <c r="O13" s="4" t="str">
        <f t="shared" si="1"/>
        <v>생명</v>
      </c>
    </row>
    <row r="14" spans="1:15" ht="17.25" customHeight="1">
      <c r="A14" s="12" t="s">
        <v>263</v>
      </c>
      <c r="B14" s="12" t="str">
        <f t="shared" si="0"/>
        <v>힘의 룬 (마법사)</v>
      </c>
      <c r="C14" s="13"/>
      <c r="D14" s="12" t="s">
        <v>46</v>
      </c>
      <c r="E14" s="12" t="s">
        <v>29</v>
      </c>
      <c r="F14" s="12" t="s">
        <v>50</v>
      </c>
      <c r="G14" s="12" t="s">
        <v>122</v>
      </c>
      <c r="H14" s="12" t="str">
        <f t="shared" si="3"/>
        <v>마법사의 공격력을 30% 증가시킨다.</v>
      </c>
      <c r="I14" s="12" t="s">
        <v>253</v>
      </c>
      <c r="J14" s="4">
        <v>30</v>
      </c>
      <c r="K14" s="4"/>
      <c r="L14" s="4"/>
      <c r="M14" s="4" t="str" cm="1">
        <f t="array" ref="M14" xml:space="preserve"> _xlfn.SWITCH(F14,"Warrior","전사","Mage","마법사","Archer","궁수","전체")</f>
        <v>마법사</v>
      </c>
      <c r="N14" s="4" t="str" cm="1">
        <f t="array" ref="N14">_xlfn.SWITCH(I14,"Atk","공격력","HP","체력","Crit_Chance","치명타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14" s="4" t="str">
        <f t="shared" si="1"/>
        <v>힘</v>
      </c>
    </row>
    <row r="15" spans="1:15" ht="17.25" customHeight="1">
      <c r="A15" s="12" t="s">
        <v>264</v>
      </c>
      <c r="B15" s="12" t="str">
        <f t="shared" si="0"/>
        <v>생명의 룬 (마법사)</v>
      </c>
      <c r="C15" s="13"/>
      <c r="D15" s="12" t="s">
        <v>46</v>
      </c>
      <c r="E15" s="12" t="s">
        <v>29</v>
      </c>
      <c r="F15" s="12" t="s">
        <v>50</v>
      </c>
      <c r="G15" s="12" t="s">
        <v>122</v>
      </c>
      <c r="H15" s="12" t="str">
        <f t="shared" si="3"/>
        <v>마법사의 체력을 30% 증가시킨다.</v>
      </c>
      <c r="I15" s="12" t="s">
        <v>255</v>
      </c>
      <c r="J15" s="4">
        <v>30</v>
      </c>
      <c r="K15" s="4"/>
      <c r="L15" s="4"/>
      <c r="M15" s="4" t="str" cm="1">
        <f t="array" ref="M15" xml:space="preserve"> _xlfn.SWITCH(F15,"Warrior","전사","Mage","마법사","Archer","궁수","전체")</f>
        <v>마법사</v>
      </c>
      <c r="N15" s="4" t="str" cm="1">
        <f t="array" ref="N15">_xlfn.SWITCH(I15,"Atk","공격력","HP","체력","Crit_Chance","치명타 확률","Crit_Mult","치명타 배율","Atk_Cooldown","공격속도","Skill_Cooldown","쿨타임 감소","Labor_Gold","퀘스트 보상","Hunt_Gold","적 처치 보상")</f>
        <v>체력</v>
      </c>
      <c r="O15" s="4" t="str">
        <f t="shared" si="1"/>
        <v>생명</v>
      </c>
    </row>
    <row r="16" spans="1:15" ht="17.25" customHeight="1">
      <c r="A16" s="12" t="s">
        <v>572</v>
      </c>
      <c r="B16" s="12" t="str">
        <f t="shared" si="0"/>
        <v>풍양의 룬 (전체)</v>
      </c>
      <c r="C16" s="13"/>
      <c r="D16" s="12" t="s">
        <v>46</v>
      </c>
      <c r="E16" s="12" t="s">
        <v>561</v>
      </c>
      <c r="F16" s="12" t="s">
        <v>122</v>
      </c>
      <c r="G16" s="12" t="s">
        <v>122</v>
      </c>
      <c r="H16" s="12" t="str">
        <f>N16 &amp; "을 "&amp;J16&amp;"% 증가시킨다."</f>
        <v>퀘스트 보상을 30% 증가시킨다.</v>
      </c>
      <c r="I16" s="12" t="s">
        <v>563</v>
      </c>
      <c r="J16" s="4">
        <v>30</v>
      </c>
      <c r="K16" s="4"/>
      <c r="L16" s="4"/>
      <c r="M16" s="4" t="str" cm="1">
        <f t="array" ref="M16" xml:space="preserve"> _xlfn.SWITCH(F16,"Warrior","전사","Mage","마법사","Archer","궁수","전체")</f>
        <v>전체</v>
      </c>
      <c r="N16" s="4" t="str" cm="1">
        <f t="array" ref="N16">_xlfn.SWITCH(I16,"Atk","공격력","HP","체력","Crit_Chance","치명타 확률","Crit_Mult","치명타 배율","Atk_Cooldown","공격속도","Skill_Cooldown","쿨타임 감소","Labor_Gold","퀘스트 보상","Hunt_Gold","적 처치 보상")</f>
        <v>퀘스트 보상</v>
      </c>
      <c r="O16" s="4" t="str">
        <f t="shared" si="1"/>
        <v>풍양</v>
      </c>
    </row>
    <row r="17" spans="1:15" ht="17.25" customHeight="1">
      <c r="A17" s="12" t="s">
        <v>573</v>
      </c>
      <c r="B17" s="12" t="str">
        <f t="shared" si="0"/>
        <v>수렵의 룬 (전체)</v>
      </c>
      <c r="C17" s="13"/>
      <c r="D17" s="12" t="s">
        <v>46</v>
      </c>
      <c r="E17" s="12" t="s">
        <v>306</v>
      </c>
      <c r="F17" s="12" t="s">
        <v>122</v>
      </c>
      <c r="G17" s="12" t="s">
        <v>122</v>
      </c>
      <c r="H17" s="12" t="str">
        <f>N17 &amp; "을 "&amp;J17&amp;"% 증가시킨다."</f>
        <v>적 처치 보상을 30% 증가시킨다.</v>
      </c>
      <c r="I17" s="12" t="s">
        <v>564</v>
      </c>
      <c r="J17" s="4">
        <v>30</v>
      </c>
      <c r="K17" s="4"/>
      <c r="L17" s="4"/>
      <c r="M17" s="4" t="str" cm="1">
        <f t="array" ref="M17" xml:space="preserve"> _xlfn.SWITCH(F17,"Warrior","전사","Mage","마법사","Archer","궁수","전체")</f>
        <v>전체</v>
      </c>
      <c r="N17" s="4" t="str" cm="1">
        <f t="array" ref="N17">_xlfn.SWITCH(I17,"Atk","공격력","HP","체력","Crit_Chance","치명타 확률","Crit_Mult","치명타 배율","Atk_Cooldown","공격속도","Skill_Cooldown","쿨타임 감소","Labor_Gold","퀘스트 보상","Hunt_Gold","적 처치 보상")</f>
        <v>적 처치 보상</v>
      </c>
      <c r="O17" s="4" t="str">
        <f t="shared" si="1"/>
        <v>수렵</v>
      </c>
    </row>
    <row r="18" spans="1:15" ht="17.25" customHeight="1">
      <c r="A18" s="14" t="s">
        <v>265</v>
      </c>
      <c r="B18" s="14" t="str">
        <f t="shared" si="0"/>
        <v>힘의 룬 (전사)</v>
      </c>
      <c r="C18" s="14"/>
      <c r="D18" s="14" t="s">
        <v>51</v>
      </c>
      <c r="E18" s="14" t="s">
        <v>29</v>
      </c>
      <c r="F18" s="14" t="s">
        <v>40</v>
      </c>
      <c r="G18" s="14" t="s">
        <v>122</v>
      </c>
      <c r="H18" s="14" t="str">
        <f>M18 &amp; "의 " &amp; N18 &amp; "을 "&amp;J18&amp;"% 증가시킨다."</f>
        <v>전사의 공격력을 90% 증가시킨다.</v>
      </c>
      <c r="I18" s="14" t="s">
        <v>253</v>
      </c>
      <c r="J18" s="4">
        <v>90</v>
      </c>
      <c r="K18" s="4"/>
      <c r="L18" s="4"/>
      <c r="M18" s="4" t="str" cm="1">
        <f t="array" ref="M18" xml:space="preserve"> _xlfn.SWITCH(F18,"Warrior","전사","Mage","마법사","Archer","궁수","전체")</f>
        <v>전사</v>
      </c>
      <c r="N18" s="4" t="str" cm="1">
        <f t="array" ref="N18">_xlfn.SWITCH(I18,"Atk","공격력","HP","체력","Crit_Chance","치명타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18" s="4" t="str">
        <f t="shared" si="1"/>
        <v>힘</v>
      </c>
    </row>
    <row r="19" spans="1:15" ht="17.25" customHeight="1">
      <c r="A19" s="14" t="s">
        <v>266</v>
      </c>
      <c r="B19" s="14" t="str">
        <f t="shared" si="0"/>
        <v>생명의 룬 (전사)</v>
      </c>
      <c r="C19" s="14"/>
      <c r="D19" s="14" t="s">
        <v>51</v>
      </c>
      <c r="E19" s="14" t="s">
        <v>29</v>
      </c>
      <c r="F19" s="14" t="s">
        <v>40</v>
      </c>
      <c r="G19" s="14" t="s">
        <v>122</v>
      </c>
      <c r="H19" s="14" t="str">
        <f t="shared" ref="H19:H33" si="4">M19 &amp; "의 " &amp; N19 &amp; "을 "&amp;J19&amp;"% 증가시킨다."</f>
        <v>전사의 체력을 90% 증가시킨다.</v>
      </c>
      <c r="I19" s="14" t="s">
        <v>255</v>
      </c>
      <c r="J19" s="4">
        <v>90</v>
      </c>
      <c r="K19" s="4"/>
      <c r="L19" s="4"/>
      <c r="M19" s="4" t="str" cm="1">
        <f t="array" ref="M19" xml:space="preserve"> _xlfn.SWITCH(F19,"Warrior","전사","Mage","마법사","Archer","궁수","전체")</f>
        <v>전사</v>
      </c>
      <c r="N19" s="4" t="str" cm="1">
        <f t="array" ref="N19">_xlfn.SWITCH(I19,"Atk","공격력","HP","체력","Crit_Chance","치명타 확률","Crit_Mult","치명타 배율","Atk_Cooldown","공격속도","Skill_Cooldown","쿨타임 감소","Labor_Gold","퀘스트 보상","Hunt_Gold","적 처치 보상")</f>
        <v>체력</v>
      </c>
      <c r="O19" s="4" t="str">
        <f t="shared" si="1"/>
        <v>생명</v>
      </c>
    </row>
    <row r="20" spans="1:15" ht="17.25" customHeight="1">
      <c r="A20" s="14" t="s">
        <v>267</v>
      </c>
      <c r="B20" s="14" t="str">
        <f t="shared" si="0"/>
        <v>매의 룬 (전사)</v>
      </c>
      <c r="C20" s="14"/>
      <c r="D20" s="14" t="s">
        <v>51</v>
      </c>
      <c r="E20" s="14" t="s">
        <v>29</v>
      </c>
      <c r="F20" s="14" t="s">
        <v>40</v>
      </c>
      <c r="G20" s="14" t="s">
        <v>122</v>
      </c>
      <c r="H20" s="14" t="str">
        <f t="shared" si="4"/>
        <v>전사의 치명타 확률을 0.5% 증가시킨다.</v>
      </c>
      <c r="I20" s="15" t="s">
        <v>268</v>
      </c>
      <c r="J20" s="4">
        <v>0.5</v>
      </c>
      <c r="K20" s="4"/>
      <c r="L20" s="4"/>
      <c r="M20" s="4" t="str" cm="1">
        <f t="array" ref="M20" xml:space="preserve"> _xlfn.SWITCH(F20,"Warrior","전사","Mage","마법사","Archer","궁수","전체")</f>
        <v>전사</v>
      </c>
      <c r="N20" s="4" t="str" cm="1">
        <f t="array" ref="N20">_xlfn.SWITCH(I20,"Atk","공격력","HP","체력","Crit_Chance","치명타 확률","Crit_Mult","치명타 배율","Atk_Cooldown","공격속도","Skill_Cooldown","쿨타임 감소","Labor_Gold","퀘스트 보상","Hunt_Gold","적 처치 보상")</f>
        <v>치명타 확률</v>
      </c>
      <c r="O20" s="4" t="str">
        <f t="shared" si="1"/>
        <v>매</v>
      </c>
    </row>
    <row r="21" spans="1:15" ht="17.25" customHeight="1">
      <c r="A21" s="14" t="s">
        <v>269</v>
      </c>
      <c r="B21" s="14" t="str">
        <f t="shared" si="0"/>
        <v>말벌의 룬 (전사)</v>
      </c>
      <c r="C21" s="14"/>
      <c r="D21" s="14" t="s">
        <v>51</v>
      </c>
      <c r="E21" s="14" t="s">
        <v>29</v>
      </c>
      <c r="F21" s="14" t="s">
        <v>40</v>
      </c>
      <c r="G21" s="14" t="s">
        <v>122</v>
      </c>
      <c r="H21" s="14" t="str">
        <f t="shared" si="4"/>
        <v>전사의 치명타 배율을 1% 증가시킨다.</v>
      </c>
      <c r="I21" s="15" t="s">
        <v>270</v>
      </c>
      <c r="J21" s="4">
        <v>1</v>
      </c>
      <c r="K21" s="4"/>
      <c r="L21" s="4"/>
      <c r="M21" s="4" t="str" cm="1">
        <f t="array" ref="M21" xml:space="preserve"> _xlfn.SWITCH(F21,"Warrior","전사","Mage","마법사","Archer","궁수","전체")</f>
        <v>전사</v>
      </c>
      <c r="N21" s="4" t="str" cm="1">
        <f t="array" ref="N21">_xlfn.SWITCH(I21,"Atk","공격력","HP","체력","Crit_Chance","치명타 확률","Crit_Mult","치명타 배율","Atk_Cooldown","공격속도","Skill_Cooldown","쿨타임 감소","Labor_Gold","퀘스트 보상","Hunt_Gold","적 처치 보상")</f>
        <v>치명타 배율</v>
      </c>
      <c r="O21" s="4" t="str">
        <f t="shared" si="1"/>
        <v>말벌</v>
      </c>
    </row>
    <row r="22" spans="1:15" ht="17.25" customHeight="1">
      <c r="A22" s="14" t="s">
        <v>271</v>
      </c>
      <c r="B22" s="14" t="str">
        <f t="shared" si="0"/>
        <v>공속의 룬 (전사)</v>
      </c>
      <c r="C22" s="14"/>
      <c r="D22" s="14" t="s">
        <v>51</v>
      </c>
      <c r="E22" s="14" t="s">
        <v>29</v>
      </c>
      <c r="F22" s="14" t="s">
        <v>40</v>
      </c>
      <c r="G22" s="14" t="s">
        <v>122</v>
      </c>
      <c r="H22" s="14" t="str">
        <f>M22 &amp; "의 " &amp; N22 &amp; "를 "&amp;J22&amp;"% 증가시킨다."</f>
        <v>전사의 공격속도를 0.5% 증가시킨다.</v>
      </c>
      <c r="I22" s="15" t="s">
        <v>272</v>
      </c>
      <c r="J22" s="4">
        <v>0.5</v>
      </c>
      <c r="K22" s="4"/>
      <c r="L22" s="4"/>
      <c r="M22" s="4" t="str" cm="1">
        <f t="array" ref="M22" xml:space="preserve"> _xlfn.SWITCH(F22,"Warrior","전사","Mage","마법사","Archer","궁수","전체")</f>
        <v>전사</v>
      </c>
      <c r="N22" s="4" t="str" cm="1">
        <f t="array" ref="N22">_xlfn.SWITCH(I22,"Atk","공격력","HP","체력","Crit_Chance","치명타 확률","Crit_Mult","치명타 배율","Atk_Cooldown","공격속도","Skill_Cooldown","쿨타임 감소","Labor_Gold","퀘스트 보상","Hunt_Gold","적 처치 보상")</f>
        <v>공격속도</v>
      </c>
      <c r="O22" s="4" t="str">
        <f t="shared" si="1"/>
        <v>공속</v>
      </c>
    </row>
    <row r="23" spans="1:15" ht="17.25" customHeight="1">
      <c r="A23" s="14" t="s">
        <v>273</v>
      </c>
      <c r="B23" s="14" t="str">
        <f t="shared" si="0"/>
        <v>쿨감의 룬 (전사)</v>
      </c>
      <c r="C23" s="14"/>
      <c r="D23" s="14" t="s">
        <v>51</v>
      </c>
      <c r="E23" s="14" t="s">
        <v>29</v>
      </c>
      <c r="F23" s="14" t="s">
        <v>40</v>
      </c>
      <c r="G23" s="14" t="s">
        <v>122</v>
      </c>
      <c r="H23" s="14" t="str">
        <f>M23 &amp; "의 " &amp; N23 &amp; "를 "&amp;J23&amp;"% 증가시킨다."</f>
        <v>전사의 쿨타임 감소를 0.5% 증가시킨다.</v>
      </c>
      <c r="I23" s="15" t="s">
        <v>274</v>
      </c>
      <c r="J23" s="4">
        <v>0.5</v>
      </c>
      <c r="K23" s="4"/>
      <c r="L23" s="4"/>
      <c r="M23" s="4" t="str" cm="1">
        <f t="array" ref="M23" xml:space="preserve"> _xlfn.SWITCH(F23,"Warrior","전사","Mage","마법사","Archer","궁수","전체")</f>
        <v>전사</v>
      </c>
      <c r="N23" s="4" t="str" cm="1">
        <f t="array" ref="N23">_xlfn.SWITCH(I23,"Atk","공격력","HP","체력","Crit_Chance","치명타 확률","Crit_Mult","치명타 배율","Atk_Cooldown","공격속도","Skill_Cooldown","쿨타임 감소","Labor_Gold","퀘스트 보상","Hunt_Gold","적 처치 보상")</f>
        <v>쿨타임 감소</v>
      </c>
      <c r="O23" s="4" t="str">
        <f t="shared" si="1"/>
        <v>쿨감</v>
      </c>
    </row>
    <row r="24" spans="1:15" ht="17.25" customHeight="1">
      <c r="A24" s="14" t="s">
        <v>275</v>
      </c>
      <c r="B24" s="14" t="str">
        <f t="shared" si="0"/>
        <v>힘의 룬 (궁수)</v>
      </c>
      <c r="C24" s="14"/>
      <c r="D24" s="14" t="s">
        <v>51</v>
      </c>
      <c r="E24" s="14" t="s">
        <v>29</v>
      </c>
      <c r="F24" s="14" t="s">
        <v>45</v>
      </c>
      <c r="G24" s="14" t="s">
        <v>122</v>
      </c>
      <c r="H24" s="14" t="str">
        <f t="shared" si="4"/>
        <v>궁수의 공격력을 90% 증가시킨다.</v>
      </c>
      <c r="I24" s="14" t="s">
        <v>253</v>
      </c>
      <c r="J24" s="4">
        <v>90</v>
      </c>
      <c r="K24" s="4"/>
      <c r="L24" s="4"/>
      <c r="M24" s="4" t="str" cm="1">
        <f t="array" ref="M24" xml:space="preserve"> _xlfn.SWITCH(F24,"Warrior","전사","Mage","마법사","Archer","궁수","전체")</f>
        <v>궁수</v>
      </c>
      <c r="N24" s="4" t="str" cm="1">
        <f t="array" ref="N24">_xlfn.SWITCH(I24,"Atk","공격력","HP","체력","Crit_Chance","치명타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24" s="4" t="str">
        <f t="shared" si="1"/>
        <v>힘</v>
      </c>
    </row>
    <row r="25" spans="1:15" ht="17.25" customHeight="1">
      <c r="A25" s="14" t="s">
        <v>276</v>
      </c>
      <c r="B25" s="14" t="str">
        <f t="shared" si="0"/>
        <v>생명의 룬 (궁수)</v>
      </c>
      <c r="C25" s="14"/>
      <c r="D25" s="14" t="s">
        <v>51</v>
      </c>
      <c r="E25" s="14" t="s">
        <v>29</v>
      </c>
      <c r="F25" s="14" t="s">
        <v>45</v>
      </c>
      <c r="G25" s="14" t="s">
        <v>122</v>
      </c>
      <c r="H25" s="14" t="str">
        <f t="shared" si="4"/>
        <v>궁수의 체력을 90% 증가시킨다.</v>
      </c>
      <c r="I25" s="14" t="s">
        <v>255</v>
      </c>
      <c r="J25" s="4">
        <v>90</v>
      </c>
      <c r="K25" s="4"/>
      <c r="L25" s="4"/>
      <c r="M25" s="4" t="str" cm="1">
        <f t="array" ref="M25" xml:space="preserve"> _xlfn.SWITCH(F25,"Warrior","전사","Mage","마법사","Archer","궁수","전체")</f>
        <v>궁수</v>
      </c>
      <c r="N25" s="4" t="str" cm="1">
        <f t="array" ref="N25">_xlfn.SWITCH(I25,"Atk","공격력","HP","체력","Crit_Chance","치명타 확률","Crit_Mult","치명타 배율","Atk_Cooldown","공격속도","Skill_Cooldown","쿨타임 감소","Labor_Gold","퀘스트 보상","Hunt_Gold","적 처치 보상")</f>
        <v>체력</v>
      </c>
      <c r="O25" s="4" t="str">
        <f t="shared" si="1"/>
        <v>생명</v>
      </c>
    </row>
    <row r="26" spans="1:15" ht="17.25" customHeight="1">
      <c r="A26" s="14" t="s">
        <v>277</v>
      </c>
      <c r="B26" s="14" t="str">
        <f t="shared" si="0"/>
        <v>매의 룬 (궁수)</v>
      </c>
      <c r="C26" s="14"/>
      <c r="D26" s="14" t="s">
        <v>51</v>
      </c>
      <c r="E26" s="14" t="s">
        <v>29</v>
      </c>
      <c r="F26" s="14" t="s">
        <v>45</v>
      </c>
      <c r="G26" s="14" t="s">
        <v>122</v>
      </c>
      <c r="H26" s="14" t="str">
        <f t="shared" si="4"/>
        <v>궁수의 치명타 확률을 0.5% 증가시킨다.</v>
      </c>
      <c r="I26" s="15" t="s">
        <v>268</v>
      </c>
      <c r="J26" s="4">
        <v>0.5</v>
      </c>
      <c r="K26" s="4"/>
      <c r="L26" s="4"/>
      <c r="M26" s="4" t="str" cm="1">
        <f t="array" ref="M26" xml:space="preserve"> _xlfn.SWITCH(F26,"Warrior","전사","Mage","마법사","Archer","궁수","전체")</f>
        <v>궁수</v>
      </c>
      <c r="N26" s="4" t="str" cm="1">
        <f t="array" ref="N26">_xlfn.SWITCH(I26,"Atk","공격력","HP","체력","Crit_Chance","치명타 확률","Crit_Mult","치명타 배율","Atk_Cooldown","공격속도","Skill_Cooldown","쿨타임 감소","Labor_Gold","퀘스트 보상","Hunt_Gold","적 처치 보상")</f>
        <v>치명타 확률</v>
      </c>
      <c r="O26" s="4" t="str">
        <f t="shared" si="1"/>
        <v>매</v>
      </c>
    </row>
    <row r="27" spans="1:15" ht="17.25" customHeight="1">
      <c r="A27" s="14" t="s">
        <v>278</v>
      </c>
      <c r="B27" s="14" t="str">
        <f t="shared" si="0"/>
        <v>말벌의 룬 (궁수)</v>
      </c>
      <c r="C27" s="14"/>
      <c r="D27" s="14" t="s">
        <v>51</v>
      </c>
      <c r="E27" s="14" t="s">
        <v>29</v>
      </c>
      <c r="F27" s="14" t="s">
        <v>45</v>
      </c>
      <c r="G27" s="14" t="s">
        <v>122</v>
      </c>
      <c r="H27" s="14" t="str">
        <f t="shared" si="4"/>
        <v>궁수의 치명타 배율을 1% 증가시킨다.</v>
      </c>
      <c r="I27" s="15" t="s">
        <v>270</v>
      </c>
      <c r="J27" s="4">
        <v>1</v>
      </c>
      <c r="K27" s="4"/>
      <c r="L27" s="4"/>
      <c r="M27" s="4" t="str" cm="1">
        <f t="array" ref="M27" xml:space="preserve"> _xlfn.SWITCH(F27,"Warrior","전사","Mage","마법사","Archer","궁수","전체")</f>
        <v>궁수</v>
      </c>
      <c r="N27" s="4" t="str" cm="1">
        <f t="array" ref="N27">_xlfn.SWITCH(I27,"Atk","공격력","HP","체력","Crit_Chance","치명타 확률","Crit_Mult","치명타 배율","Atk_Cooldown","공격속도","Skill_Cooldown","쿨타임 감소","Labor_Gold","퀘스트 보상","Hunt_Gold","적 처치 보상")</f>
        <v>치명타 배율</v>
      </c>
      <c r="O27" s="4" t="str">
        <f t="shared" si="1"/>
        <v>말벌</v>
      </c>
    </row>
    <row r="28" spans="1:15" ht="17.25" customHeight="1">
      <c r="A28" s="14" t="s">
        <v>279</v>
      </c>
      <c r="B28" s="14" t="str">
        <f t="shared" si="0"/>
        <v>공속의 룬 (궁수)</v>
      </c>
      <c r="C28" s="14"/>
      <c r="D28" s="14" t="s">
        <v>51</v>
      </c>
      <c r="E28" s="14" t="s">
        <v>29</v>
      </c>
      <c r="F28" s="14" t="s">
        <v>45</v>
      </c>
      <c r="G28" s="14" t="s">
        <v>122</v>
      </c>
      <c r="H28" s="14" t="str">
        <f t="shared" si="4"/>
        <v>궁수의 공격속도을 0.5% 증가시킨다.</v>
      </c>
      <c r="I28" s="15" t="s">
        <v>272</v>
      </c>
      <c r="J28" s="4">
        <v>0.5</v>
      </c>
      <c r="K28" s="4"/>
      <c r="L28" s="4"/>
      <c r="M28" s="4" t="str" cm="1">
        <f t="array" ref="M28" xml:space="preserve"> _xlfn.SWITCH(F28,"Warrior","전사","Mage","마법사","Archer","궁수","전체")</f>
        <v>궁수</v>
      </c>
      <c r="N28" s="4" t="str" cm="1">
        <f t="array" ref="N28">_xlfn.SWITCH(I28,"Atk","공격력","HP","체력","Crit_Chance","치명타 확률","Crit_Mult","치명타 배율","Atk_Cooldown","공격속도","Skill_Cooldown","쿨타임 감소","Labor_Gold","퀘스트 보상","Hunt_Gold","적 처치 보상")</f>
        <v>공격속도</v>
      </c>
      <c r="O28" s="4" t="str">
        <f t="shared" si="1"/>
        <v>공속</v>
      </c>
    </row>
    <row r="29" spans="1:15" ht="17.25" customHeight="1">
      <c r="A29" s="14" t="s">
        <v>280</v>
      </c>
      <c r="B29" s="14" t="str">
        <f t="shared" si="0"/>
        <v>쿨감의 룬 (궁수)</v>
      </c>
      <c r="C29" s="14"/>
      <c r="D29" s="14" t="s">
        <v>51</v>
      </c>
      <c r="E29" s="14" t="s">
        <v>29</v>
      </c>
      <c r="F29" s="14" t="s">
        <v>45</v>
      </c>
      <c r="G29" s="14" t="s">
        <v>122</v>
      </c>
      <c r="H29" s="14" t="str">
        <f t="shared" si="4"/>
        <v>궁수의 쿨타임 감소을 0.5% 증가시킨다.</v>
      </c>
      <c r="I29" s="15" t="s">
        <v>274</v>
      </c>
      <c r="J29" s="4">
        <v>0.5</v>
      </c>
      <c r="K29" s="4"/>
      <c r="L29" s="4"/>
      <c r="M29" s="4" t="str" cm="1">
        <f t="array" ref="M29" xml:space="preserve"> _xlfn.SWITCH(F29,"Warrior","전사","Mage","마법사","Archer","궁수","전체")</f>
        <v>궁수</v>
      </c>
      <c r="N29" s="4" t="str" cm="1">
        <f t="array" ref="N29">_xlfn.SWITCH(I29,"Atk","공격력","HP","체력","Crit_Chance","치명타 확률","Crit_Mult","치명타 배율","Atk_Cooldown","공격속도","Skill_Cooldown","쿨타임 감소","Labor_Gold","퀘스트 보상","Hunt_Gold","적 처치 보상")</f>
        <v>쿨타임 감소</v>
      </c>
      <c r="O29" s="4" t="str">
        <f t="shared" si="1"/>
        <v>쿨감</v>
      </c>
    </row>
    <row r="30" spans="1:15" ht="17.25" customHeight="1">
      <c r="A30" s="14" t="s">
        <v>281</v>
      </c>
      <c r="B30" s="14" t="str">
        <f t="shared" si="0"/>
        <v>힘의 룬 (마법사)</v>
      </c>
      <c r="C30" s="14"/>
      <c r="D30" s="14" t="s">
        <v>51</v>
      </c>
      <c r="E30" s="14" t="s">
        <v>29</v>
      </c>
      <c r="F30" s="14" t="s">
        <v>50</v>
      </c>
      <c r="G30" s="14" t="s">
        <v>122</v>
      </c>
      <c r="H30" s="14" t="str">
        <f t="shared" si="4"/>
        <v>마법사의 공격력을 90% 증가시킨다.</v>
      </c>
      <c r="I30" s="14" t="s">
        <v>253</v>
      </c>
      <c r="J30" s="4">
        <v>90</v>
      </c>
      <c r="K30" s="4"/>
      <c r="L30" s="4"/>
      <c r="M30" s="4" t="str" cm="1">
        <f t="array" ref="M30" xml:space="preserve"> _xlfn.SWITCH(F30,"Warrior","전사","Mage","마법사","Archer","궁수","전체")</f>
        <v>마법사</v>
      </c>
      <c r="N30" s="4" t="str" cm="1">
        <f t="array" ref="N30">_xlfn.SWITCH(I30,"Atk","공격력","HP","체력","Crit_Chance","치명타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30" s="4" t="str">
        <f t="shared" si="1"/>
        <v>힘</v>
      </c>
    </row>
    <row r="31" spans="1:15" ht="17.25" customHeight="1">
      <c r="A31" s="14" t="s">
        <v>282</v>
      </c>
      <c r="B31" s="14" t="str">
        <f t="shared" si="0"/>
        <v>생명의 룬 (마법사)</v>
      </c>
      <c r="C31" s="14"/>
      <c r="D31" s="14" t="s">
        <v>51</v>
      </c>
      <c r="E31" s="14" t="s">
        <v>29</v>
      </c>
      <c r="F31" s="14" t="s">
        <v>50</v>
      </c>
      <c r="G31" s="14" t="s">
        <v>122</v>
      </c>
      <c r="H31" s="14" t="str">
        <f t="shared" si="4"/>
        <v>마법사의 체력을 90% 증가시킨다.</v>
      </c>
      <c r="I31" s="14" t="s">
        <v>255</v>
      </c>
      <c r="J31" s="4">
        <v>90</v>
      </c>
      <c r="K31" s="4"/>
      <c r="L31" s="4"/>
      <c r="M31" s="4" t="str" cm="1">
        <f t="array" ref="M31" xml:space="preserve"> _xlfn.SWITCH(F31,"Warrior","전사","Mage","마법사","Archer","궁수","전체")</f>
        <v>마법사</v>
      </c>
      <c r="N31" s="4" t="str" cm="1">
        <f t="array" ref="N31">_xlfn.SWITCH(I31,"Atk","공격력","HP","체력","Crit_Chance","치명타 확률","Crit_Mult","치명타 배율","Atk_Cooldown","공격속도","Skill_Cooldown","쿨타임 감소","Labor_Gold","퀘스트 보상","Hunt_Gold","적 처치 보상")</f>
        <v>체력</v>
      </c>
      <c r="O31" s="4" t="str">
        <f t="shared" si="1"/>
        <v>생명</v>
      </c>
    </row>
    <row r="32" spans="1:15" ht="17.25" customHeight="1">
      <c r="A32" s="14" t="s">
        <v>283</v>
      </c>
      <c r="B32" s="14" t="str">
        <f t="shared" si="0"/>
        <v>매의 룬 (마법사)</v>
      </c>
      <c r="C32" s="14"/>
      <c r="D32" s="14" t="s">
        <v>51</v>
      </c>
      <c r="E32" s="14" t="s">
        <v>29</v>
      </c>
      <c r="F32" s="14" t="s">
        <v>50</v>
      </c>
      <c r="G32" s="14" t="s">
        <v>122</v>
      </c>
      <c r="H32" s="14" t="str">
        <f t="shared" si="4"/>
        <v>마법사의 치명타 확률을 0.5% 증가시킨다.</v>
      </c>
      <c r="I32" s="15" t="s">
        <v>268</v>
      </c>
      <c r="J32" s="4">
        <v>0.5</v>
      </c>
      <c r="K32" s="4"/>
      <c r="L32" s="4"/>
      <c r="M32" s="4" t="str" cm="1">
        <f t="array" ref="M32" xml:space="preserve"> _xlfn.SWITCH(F32,"Warrior","전사","Mage","마법사","Archer","궁수","전체")</f>
        <v>마법사</v>
      </c>
      <c r="N32" s="4" t="str" cm="1">
        <f t="array" ref="N32">_xlfn.SWITCH(I32,"Atk","공격력","HP","체력","Crit_Chance","치명타 확률","Crit_Mult","치명타 배율","Atk_Cooldown","공격속도","Skill_Cooldown","쿨타임 감소","Labor_Gold","퀘스트 보상","Hunt_Gold","적 처치 보상")</f>
        <v>치명타 확률</v>
      </c>
      <c r="O32" s="4" t="str">
        <f t="shared" si="1"/>
        <v>매</v>
      </c>
    </row>
    <row r="33" spans="1:15" ht="17.25" customHeight="1">
      <c r="A33" s="14" t="s">
        <v>284</v>
      </c>
      <c r="B33" s="14" t="str">
        <f t="shared" si="0"/>
        <v>말벌의 룬 (마법사)</v>
      </c>
      <c r="C33" s="14"/>
      <c r="D33" s="14" t="s">
        <v>51</v>
      </c>
      <c r="E33" s="14" t="s">
        <v>29</v>
      </c>
      <c r="F33" s="14" t="s">
        <v>50</v>
      </c>
      <c r="G33" s="14" t="s">
        <v>122</v>
      </c>
      <c r="H33" s="14" t="str">
        <f t="shared" si="4"/>
        <v>마법사의 치명타 배율을 1% 증가시킨다.</v>
      </c>
      <c r="I33" s="15" t="s">
        <v>270</v>
      </c>
      <c r="J33" s="4">
        <v>1</v>
      </c>
      <c r="K33" s="4"/>
      <c r="L33" s="4"/>
      <c r="M33" s="4" t="str" cm="1">
        <f t="array" ref="M33" xml:space="preserve"> _xlfn.SWITCH(F33,"Warrior","전사","Mage","마법사","Archer","궁수","전체")</f>
        <v>마법사</v>
      </c>
      <c r="N33" s="4" t="str" cm="1">
        <f t="array" ref="N33">_xlfn.SWITCH(I33,"Atk","공격력","HP","체력","Crit_Chance","치명타 확률","Crit_Mult","치명타 배율","Atk_Cooldown","공격속도","Skill_Cooldown","쿨타임 감소","Labor_Gold","퀘스트 보상","Hunt_Gold","적 처치 보상")</f>
        <v>치명타 배율</v>
      </c>
      <c r="O33" s="4" t="str">
        <f t="shared" si="1"/>
        <v>말벌</v>
      </c>
    </row>
    <row r="34" spans="1:15" ht="17.25" customHeight="1">
      <c r="A34" s="14" t="s">
        <v>285</v>
      </c>
      <c r="B34" s="14" t="str">
        <f t="shared" si="0"/>
        <v>공속의 룬 (마법사)</v>
      </c>
      <c r="C34" s="14"/>
      <c r="D34" s="14" t="s">
        <v>51</v>
      </c>
      <c r="E34" s="14" t="s">
        <v>29</v>
      </c>
      <c r="F34" s="14" t="s">
        <v>50</v>
      </c>
      <c r="G34" s="14" t="s">
        <v>122</v>
      </c>
      <c r="H34" s="14" t="str">
        <f>M34 &amp; "의 " &amp; N34 &amp; "를 "&amp;J34&amp;"% 증가시킨다."</f>
        <v>마법사의 공격속도를 0.5% 증가시킨다.</v>
      </c>
      <c r="I34" s="15" t="s">
        <v>272</v>
      </c>
      <c r="J34" s="4">
        <v>0.5</v>
      </c>
      <c r="K34" s="4"/>
      <c r="L34" s="4"/>
      <c r="M34" s="4" t="str" cm="1">
        <f t="array" ref="M34" xml:space="preserve"> _xlfn.SWITCH(F34,"Warrior","전사","Mage","마법사","Archer","궁수","전체")</f>
        <v>마법사</v>
      </c>
      <c r="N34" s="4" t="str" cm="1">
        <f t="array" ref="N34">_xlfn.SWITCH(I34,"Atk","공격력","HP","체력","Crit_Chance","치명타 확률","Crit_Mult","치명타 배율","Atk_Cooldown","공격속도","Skill_Cooldown","쿨타임 감소","Labor_Gold","퀘스트 보상","Hunt_Gold","적 처치 보상")</f>
        <v>공격속도</v>
      </c>
      <c r="O34" s="4" t="str">
        <f t="shared" si="1"/>
        <v>공속</v>
      </c>
    </row>
    <row r="35" spans="1:15" ht="17.25" customHeight="1">
      <c r="A35" s="14" t="s">
        <v>286</v>
      </c>
      <c r="B35" s="14" t="str">
        <f t="shared" si="0"/>
        <v>쿨감의 룬 (마법사)</v>
      </c>
      <c r="C35" s="14"/>
      <c r="D35" s="14" t="s">
        <v>51</v>
      </c>
      <c r="E35" s="14" t="s">
        <v>29</v>
      </c>
      <c r="F35" s="14" t="s">
        <v>50</v>
      </c>
      <c r="G35" s="14" t="s">
        <v>122</v>
      </c>
      <c r="H35" s="14" t="str">
        <f>M35 &amp; "의 " &amp; N35 &amp; "를 "&amp;J35&amp;"% 증가시킨다."</f>
        <v>마법사의 쿨타임 감소를 0.5% 증가시킨다.</v>
      </c>
      <c r="I35" s="15" t="s">
        <v>274</v>
      </c>
      <c r="J35" s="4">
        <v>0.5</v>
      </c>
      <c r="K35" s="4"/>
      <c r="L35" s="4"/>
      <c r="M35" s="4" t="str" cm="1">
        <f t="array" ref="M35" xml:space="preserve"> _xlfn.SWITCH(F35,"Warrior","전사","Mage","마법사","Archer","궁수","전체")</f>
        <v>마법사</v>
      </c>
      <c r="N35" s="4" t="str" cm="1">
        <f t="array" ref="N35">_xlfn.SWITCH(I35,"Atk","공격력","HP","체력","Crit_Chance","치명타 확률","Crit_Mult","치명타 배율","Atk_Cooldown","공격속도","Skill_Cooldown","쿨타임 감소","Labor_Gold","퀘스트 보상","Hunt_Gold","적 처치 보상")</f>
        <v>쿨타임 감소</v>
      </c>
      <c r="O35" s="4" t="str">
        <f t="shared" si="1"/>
        <v>쿨감</v>
      </c>
    </row>
    <row r="36" spans="1:15" ht="17.25" customHeight="1">
      <c r="A36" s="14" t="s">
        <v>570</v>
      </c>
      <c r="B36" s="14" t="str">
        <f t="shared" si="0"/>
        <v>풍양의 룬 (전체)</v>
      </c>
      <c r="C36" s="14"/>
      <c r="D36" s="14" t="s">
        <v>51</v>
      </c>
      <c r="E36" s="14" t="s">
        <v>561</v>
      </c>
      <c r="F36" s="14" t="s">
        <v>122</v>
      </c>
      <c r="G36" s="14" t="s">
        <v>122</v>
      </c>
      <c r="H36" s="14" t="str">
        <f>N36 &amp; "을 "&amp;J36&amp;"% 증가시킨다."</f>
        <v>퀘스트 보상을 90% 증가시킨다.</v>
      </c>
      <c r="I36" s="15" t="s">
        <v>563</v>
      </c>
      <c r="J36" s="4">
        <v>90</v>
      </c>
      <c r="K36" s="4"/>
      <c r="L36" s="4"/>
      <c r="M36" s="4" t="str" cm="1">
        <f t="array" ref="M36" xml:space="preserve"> _xlfn.SWITCH(F36,"Warrior","전사","Mage","마법사","Archer","궁수","전체")</f>
        <v>전체</v>
      </c>
      <c r="N36" s="4" t="str" cm="1">
        <f t="array" ref="N36">_xlfn.SWITCH(I36,"Atk","공격력","HP","체력","Crit_Chance","치명타 확률","Crit_Mult","치명타 배율","Atk_Cooldown","공격속도","Skill_Cooldown","쿨타임 감소","Labor_Gold","퀘스트 보상","Hunt_Gold","적 처치 보상")</f>
        <v>퀘스트 보상</v>
      </c>
      <c r="O36" s="4" t="str">
        <f t="shared" si="1"/>
        <v>풍양</v>
      </c>
    </row>
    <row r="37" spans="1:15" ht="17.25" customHeight="1">
      <c r="A37" s="14" t="s">
        <v>571</v>
      </c>
      <c r="B37" s="14" t="str">
        <f t="shared" si="0"/>
        <v>수렵의 룬 (전체)</v>
      </c>
      <c r="C37" s="14"/>
      <c r="D37" s="14" t="s">
        <v>51</v>
      </c>
      <c r="E37" s="14" t="s">
        <v>561</v>
      </c>
      <c r="F37" s="14" t="s">
        <v>122</v>
      </c>
      <c r="G37" s="14" t="s">
        <v>122</v>
      </c>
      <c r="H37" s="14" t="str">
        <f>N37 &amp; "을 "&amp;J37&amp;"% 증가시킨다."</f>
        <v>적 처치 보상을 90% 증가시킨다.</v>
      </c>
      <c r="I37" s="15" t="s">
        <v>564</v>
      </c>
      <c r="J37" s="4">
        <v>90</v>
      </c>
      <c r="K37" s="4"/>
      <c r="L37" s="4"/>
      <c r="M37" s="4" t="str" cm="1">
        <f t="array" ref="M37" xml:space="preserve"> _xlfn.SWITCH(F37,"Warrior","전사","Mage","마법사","Archer","궁수","전체")</f>
        <v>전체</v>
      </c>
      <c r="N37" s="4" t="str" cm="1">
        <f t="array" ref="N37">_xlfn.SWITCH(I37,"Atk","공격력","HP","체력","Crit_Chance","치명타 확률","Crit_Mult","치명타 배율","Atk_Cooldown","공격속도","Skill_Cooldown","쿨타임 감소","Labor_Gold","퀘스트 보상","Hunt_Gold","적 처치 보상")</f>
        <v>적 처치 보상</v>
      </c>
      <c r="O37" s="4" t="str">
        <f t="shared" si="1"/>
        <v>수렵</v>
      </c>
    </row>
    <row r="38" spans="1:15" ht="17.25" customHeight="1">
      <c r="A38" s="16" t="s">
        <v>287</v>
      </c>
      <c r="B38" s="16" t="str">
        <f t="shared" si="0"/>
        <v>힘의 룬 (전사)</v>
      </c>
      <c r="C38" s="17"/>
      <c r="D38" s="17" t="s">
        <v>54</v>
      </c>
      <c r="E38" s="16" t="s">
        <v>29</v>
      </c>
      <c r="F38" s="16" t="s">
        <v>40</v>
      </c>
      <c r="G38" s="16" t="s">
        <v>122</v>
      </c>
      <c r="H38" s="16" t="str">
        <f>M38 &amp; "의 " &amp; N38 &amp; "을 "&amp;J38&amp;"% 증가시킨다."</f>
        <v>전사의 공격력을 270% 증가시킨다.</v>
      </c>
      <c r="I38" s="16" t="s">
        <v>253</v>
      </c>
      <c r="J38" s="4">
        <v>270</v>
      </c>
      <c r="K38" s="4"/>
      <c r="L38" s="4"/>
      <c r="M38" s="4" t="str" cm="1">
        <f t="array" ref="M38" xml:space="preserve"> _xlfn.SWITCH(F38,"Warrior","전사","Mage","마법사","Archer","궁수","전체")</f>
        <v>전사</v>
      </c>
      <c r="N38" s="4" t="str" cm="1">
        <f t="array" ref="N38">_xlfn.SWITCH(I38,"Atk","공격력","HP","체력","Crit_Chance","치명타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38" s="4" t="str">
        <f t="shared" si="1"/>
        <v>힘</v>
      </c>
    </row>
    <row r="39" spans="1:15" ht="17.25" customHeight="1">
      <c r="A39" s="16" t="s">
        <v>288</v>
      </c>
      <c r="B39" s="16" t="str">
        <f t="shared" si="0"/>
        <v>생명의 룬 (전사)</v>
      </c>
      <c r="C39" s="17"/>
      <c r="D39" s="17" t="s">
        <v>54</v>
      </c>
      <c r="E39" s="16" t="s">
        <v>29</v>
      </c>
      <c r="F39" s="16" t="s">
        <v>40</v>
      </c>
      <c r="G39" s="16" t="s">
        <v>122</v>
      </c>
      <c r="H39" s="16" t="str">
        <f t="shared" ref="H39:H55" si="5">M39 &amp; "의 " &amp; N39 &amp; "을 "&amp;J39&amp;"% 증가시킨다."</f>
        <v>전사의 체력을 270% 증가시킨다.</v>
      </c>
      <c r="I39" s="16" t="s">
        <v>255</v>
      </c>
      <c r="J39" s="4">
        <v>270</v>
      </c>
      <c r="K39" s="4"/>
      <c r="L39" s="4"/>
      <c r="M39" s="4" t="str" cm="1">
        <f t="array" ref="M39" xml:space="preserve"> _xlfn.SWITCH(F39,"Warrior","전사","Mage","마법사","Archer","궁수","전체")</f>
        <v>전사</v>
      </c>
      <c r="N39" s="4" t="str" cm="1">
        <f t="array" ref="N39">_xlfn.SWITCH(I39,"Atk","공격력","HP","체력","Crit_Chance","치명타 확률","Crit_Mult","치명타 배율","Atk_Cooldown","공격속도","Skill_Cooldown","쿨타임 감소","Labor_Gold","퀘스트 보상","Hunt_Gold","적 처치 보상")</f>
        <v>체력</v>
      </c>
      <c r="O39" s="4" t="str">
        <f t="shared" si="1"/>
        <v>생명</v>
      </c>
    </row>
    <row r="40" spans="1:15" ht="17.25" customHeight="1">
      <c r="A40" s="16" t="s">
        <v>289</v>
      </c>
      <c r="B40" s="16" t="str">
        <f t="shared" si="0"/>
        <v>매의 룬 (전사)</v>
      </c>
      <c r="C40" s="17"/>
      <c r="D40" s="17" t="s">
        <v>54</v>
      </c>
      <c r="E40" s="16" t="s">
        <v>29</v>
      </c>
      <c r="F40" s="16" t="s">
        <v>40</v>
      </c>
      <c r="G40" s="16" t="s">
        <v>122</v>
      </c>
      <c r="H40" s="16" t="str">
        <f t="shared" si="5"/>
        <v>전사의 치명타 확률을 1.5% 증가시킨다.</v>
      </c>
      <c r="I40" s="17" t="s">
        <v>268</v>
      </c>
      <c r="J40" s="4">
        <v>1.5</v>
      </c>
      <c r="K40" s="4"/>
      <c r="L40" s="4"/>
      <c r="M40" s="4" t="str" cm="1">
        <f t="array" ref="M40" xml:space="preserve"> _xlfn.SWITCH(F40,"Warrior","전사","Mage","마법사","Archer","궁수","전체")</f>
        <v>전사</v>
      </c>
      <c r="N40" s="4" t="str" cm="1">
        <f t="array" ref="N40">_xlfn.SWITCH(I40,"Atk","공격력","HP","체력","Crit_Chance","치명타 확률","Crit_Mult","치명타 배율","Atk_Cooldown","공격속도","Skill_Cooldown","쿨타임 감소","Labor_Gold","퀘스트 보상","Hunt_Gold","적 처치 보상")</f>
        <v>치명타 확률</v>
      </c>
      <c r="O40" s="4" t="str">
        <f t="shared" si="1"/>
        <v>매</v>
      </c>
    </row>
    <row r="41" spans="1:15" ht="17.25" customHeight="1">
      <c r="A41" s="16" t="s">
        <v>290</v>
      </c>
      <c r="B41" s="16" t="str">
        <f t="shared" si="0"/>
        <v>말벌의 룬 (전사)</v>
      </c>
      <c r="C41" s="17"/>
      <c r="D41" s="17" t="s">
        <v>54</v>
      </c>
      <c r="E41" s="16" t="s">
        <v>29</v>
      </c>
      <c r="F41" s="16" t="s">
        <v>40</v>
      </c>
      <c r="G41" s="16" t="s">
        <v>122</v>
      </c>
      <c r="H41" s="16" t="str">
        <f t="shared" si="5"/>
        <v>전사의 치명타 배율을 3% 증가시킨다.</v>
      </c>
      <c r="I41" s="17" t="s">
        <v>270</v>
      </c>
      <c r="J41" s="4">
        <v>3</v>
      </c>
      <c r="K41" s="4"/>
      <c r="L41" s="4"/>
      <c r="M41" s="4" t="str" cm="1">
        <f t="array" ref="M41" xml:space="preserve"> _xlfn.SWITCH(F41,"Warrior","전사","Mage","마법사","Archer","궁수","전체")</f>
        <v>전사</v>
      </c>
      <c r="N41" s="4" t="str" cm="1">
        <f t="array" ref="N41">_xlfn.SWITCH(I41,"Atk","공격력","HP","체력","Crit_Chance","치명타 확률","Crit_Mult","치명타 배율","Atk_Cooldown","공격속도","Skill_Cooldown","쿨타임 감소","Labor_Gold","퀘스트 보상","Hunt_Gold","적 처치 보상")</f>
        <v>치명타 배율</v>
      </c>
      <c r="O41" s="4" t="str">
        <f t="shared" si="1"/>
        <v>말벌</v>
      </c>
    </row>
    <row r="42" spans="1:15" ht="17.25" customHeight="1">
      <c r="A42" s="16" t="s">
        <v>291</v>
      </c>
      <c r="B42" s="16" t="str">
        <f t="shared" si="0"/>
        <v>공속의 룬 (전사)</v>
      </c>
      <c r="C42" s="17"/>
      <c r="D42" s="17" t="s">
        <v>54</v>
      </c>
      <c r="E42" s="16" t="s">
        <v>29</v>
      </c>
      <c r="F42" s="16" t="s">
        <v>40</v>
      </c>
      <c r="G42" s="16" t="s">
        <v>122</v>
      </c>
      <c r="H42" s="16" t="str">
        <f t="shared" si="5"/>
        <v>전사의 공격속도을 1.5% 증가시킨다.</v>
      </c>
      <c r="I42" s="17" t="s">
        <v>272</v>
      </c>
      <c r="J42" s="4">
        <v>1.5</v>
      </c>
      <c r="K42" s="4"/>
      <c r="L42" s="4"/>
      <c r="M42" s="4" t="str" cm="1">
        <f t="array" ref="M42" xml:space="preserve"> _xlfn.SWITCH(F42,"Warrior","전사","Mage","마법사","Archer","궁수","전체")</f>
        <v>전사</v>
      </c>
      <c r="N42" s="4" t="str" cm="1">
        <f t="array" ref="N42">_xlfn.SWITCH(I42,"Atk","공격력","HP","체력","Crit_Chance","치명타 확률","Crit_Mult","치명타 배율","Atk_Cooldown","공격속도","Skill_Cooldown","쿨타임 감소","Labor_Gold","퀘스트 보상","Hunt_Gold","적 처치 보상")</f>
        <v>공격속도</v>
      </c>
      <c r="O42" s="4" t="str">
        <f t="shared" si="1"/>
        <v>공속</v>
      </c>
    </row>
    <row r="43" spans="1:15" ht="17.25" customHeight="1">
      <c r="A43" s="16" t="s">
        <v>292</v>
      </c>
      <c r="B43" s="16" t="str">
        <f t="shared" si="0"/>
        <v>쿨감의 룬 (전사)</v>
      </c>
      <c r="C43" s="17"/>
      <c r="D43" s="17" t="s">
        <v>54</v>
      </c>
      <c r="E43" s="16" t="s">
        <v>29</v>
      </c>
      <c r="F43" s="16" t="s">
        <v>40</v>
      </c>
      <c r="G43" s="16" t="s">
        <v>122</v>
      </c>
      <c r="H43" s="16" t="str">
        <f t="shared" si="5"/>
        <v>전사의 쿨타임 감소을 1.5% 증가시킨다.</v>
      </c>
      <c r="I43" s="17" t="s">
        <v>274</v>
      </c>
      <c r="J43" s="4">
        <v>1.5</v>
      </c>
      <c r="K43" s="4"/>
      <c r="L43" s="4"/>
      <c r="M43" s="4" t="str" cm="1">
        <f t="array" ref="M43" xml:space="preserve"> _xlfn.SWITCH(F43,"Warrior","전사","Mage","마법사","Archer","궁수","전체")</f>
        <v>전사</v>
      </c>
      <c r="N43" s="4" t="str" cm="1">
        <f t="array" ref="N43">_xlfn.SWITCH(I43,"Atk","공격력","HP","체력","Crit_Chance","치명타 확률","Crit_Mult","치명타 배율","Atk_Cooldown","공격속도","Skill_Cooldown","쿨타임 감소","Labor_Gold","퀘스트 보상","Hunt_Gold","적 처치 보상")</f>
        <v>쿨타임 감소</v>
      </c>
      <c r="O43" s="4" t="str">
        <f t="shared" si="1"/>
        <v>쿨감</v>
      </c>
    </row>
    <row r="44" spans="1:15" ht="17.25" customHeight="1">
      <c r="A44" s="16" t="s">
        <v>293</v>
      </c>
      <c r="B44" s="16" t="str">
        <f t="shared" si="0"/>
        <v>힘의 룬 (궁수)</v>
      </c>
      <c r="C44" s="17"/>
      <c r="D44" s="17" t="s">
        <v>54</v>
      </c>
      <c r="E44" s="16" t="s">
        <v>29</v>
      </c>
      <c r="F44" s="16" t="s">
        <v>45</v>
      </c>
      <c r="G44" s="16" t="s">
        <v>122</v>
      </c>
      <c r="H44" s="16" t="str">
        <f t="shared" si="5"/>
        <v>궁수의 공격력을 270% 증가시킨다.</v>
      </c>
      <c r="I44" s="16" t="s">
        <v>253</v>
      </c>
      <c r="J44" s="4">
        <v>270</v>
      </c>
      <c r="K44" s="4"/>
      <c r="L44" s="4"/>
      <c r="M44" s="4" t="str" cm="1">
        <f t="array" ref="M44" xml:space="preserve"> _xlfn.SWITCH(F44,"Warrior","전사","Mage","마법사","Archer","궁수","전체")</f>
        <v>궁수</v>
      </c>
      <c r="N44" s="4" t="str" cm="1">
        <f t="array" ref="N44">_xlfn.SWITCH(I44,"Atk","공격력","HP","체력","Crit_Chance","치명타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44" s="4" t="str">
        <f t="shared" si="1"/>
        <v>힘</v>
      </c>
    </row>
    <row r="45" spans="1:15" ht="17.25" customHeight="1">
      <c r="A45" s="16" t="s">
        <v>294</v>
      </c>
      <c r="B45" s="16" t="str">
        <f t="shared" si="0"/>
        <v>생명의 룬 (궁수)</v>
      </c>
      <c r="C45" s="17"/>
      <c r="D45" s="17" t="s">
        <v>54</v>
      </c>
      <c r="E45" s="16" t="s">
        <v>29</v>
      </c>
      <c r="F45" s="16" t="s">
        <v>45</v>
      </c>
      <c r="G45" s="16" t="s">
        <v>122</v>
      </c>
      <c r="H45" s="16" t="str">
        <f t="shared" si="5"/>
        <v>궁수의 체력을 270% 증가시킨다.</v>
      </c>
      <c r="I45" s="16" t="s">
        <v>255</v>
      </c>
      <c r="J45" s="4">
        <v>270</v>
      </c>
      <c r="K45" s="4"/>
      <c r="L45" s="4"/>
      <c r="M45" s="4" t="str" cm="1">
        <f t="array" ref="M45" xml:space="preserve"> _xlfn.SWITCH(F45,"Warrior","전사","Mage","마법사","Archer","궁수","전체")</f>
        <v>궁수</v>
      </c>
      <c r="N45" s="4" t="str" cm="1">
        <f t="array" ref="N45">_xlfn.SWITCH(I45,"Atk","공격력","HP","체력","Crit_Chance","치명타 확률","Crit_Mult","치명타 배율","Atk_Cooldown","공격속도","Skill_Cooldown","쿨타임 감소","Labor_Gold","퀘스트 보상","Hunt_Gold","적 처치 보상")</f>
        <v>체력</v>
      </c>
      <c r="O45" s="4" t="str">
        <f t="shared" si="1"/>
        <v>생명</v>
      </c>
    </row>
    <row r="46" spans="1:15" ht="17.25" customHeight="1">
      <c r="A46" s="16" t="s">
        <v>295</v>
      </c>
      <c r="B46" s="16" t="str">
        <f t="shared" si="0"/>
        <v>매의 룬 (궁수)</v>
      </c>
      <c r="C46" s="17"/>
      <c r="D46" s="17" t="s">
        <v>54</v>
      </c>
      <c r="E46" s="16" t="s">
        <v>29</v>
      </c>
      <c r="F46" s="16" t="s">
        <v>45</v>
      </c>
      <c r="G46" s="16" t="s">
        <v>122</v>
      </c>
      <c r="H46" s="16" t="str">
        <f t="shared" si="5"/>
        <v>궁수의 치명타 확률을 1.5% 증가시킨다.</v>
      </c>
      <c r="I46" s="17" t="s">
        <v>268</v>
      </c>
      <c r="J46" s="4">
        <v>1.5</v>
      </c>
      <c r="K46" s="4"/>
      <c r="L46" s="4"/>
      <c r="M46" s="4" t="str" cm="1">
        <f t="array" ref="M46" xml:space="preserve"> _xlfn.SWITCH(F46,"Warrior","전사","Mage","마법사","Archer","궁수","전체")</f>
        <v>궁수</v>
      </c>
      <c r="N46" s="4" t="str" cm="1">
        <f t="array" ref="N46">_xlfn.SWITCH(I46,"Atk","공격력","HP","체력","Crit_Chance","치명타 확률","Crit_Mult","치명타 배율","Atk_Cooldown","공격속도","Skill_Cooldown","쿨타임 감소","Labor_Gold","퀘스트 보상","Hunt_Gold","적 처치 보상")</f>
        <v>치명타 확률</v>
      </c>
      <c r="O46" s="4" t="str">
        <f t="shared" si="1"/>
        <v>매</v>
      </c>
    </row>
    <row r="47" spans="1:15" ht="17.25" customHeight="1">
      <c r="A47" s="16" t="s">
        <v>296</v>
      </c>
      <c r="B47" s="16" t="str">
        <f t="shared" si="0"/>
        <v>말벌의 룬 (궁수)</v>
      </c>
      <c r="C47" s="17"/>
      <c r="D47" s="17" t="s">
        <v>54</v>
      </c>
      <c r="E47" s="16" t="s">
        <v>29</v>
      </c>
      <c r="F47" s="16" t="s">
        <v>45</v>
      </c>
      <c r="G47" s="16" t="s">
        <v>122</v>
      </c>
      <c r="H47" s="16" t="str">
        <f t="shared" si="5"/>
        <v>궁수의 치명타 배율을 3% 증가시킨다.</v>
      </c>
      <c r="I47" s="17" t="s">
        <v>270</v>
      </c>
      <c r="J47" s="4">
        <v>3</v>
      </c>
      <c r="K47" s="4"/>
      <c r="L47" s="4"/>
      <c r="M47" s="4" t="str" cm="1">
        <f t="array" ref="M47" xml:space="preserve"> _xlfn.SWITCH(F47,"Warrior","전사","Mage","마법사","Archer","궁수","전체")</f>
        <v>궁수</v>
      </c>
      <c r="N47" s="4" t="str" cm="1">
        <f t="array" ref="N47">_xlfn.SWITCH(I47,"Atk","공격력","HP","체력","Crit_Chance","치명타 확률","Crit_Mult","치명타 배율","Atk_Cooldown","공격속도","Skill_Cooldown","쿨타임 감소","Labor_Gold","퀘스트 보상","Hunt_Gold","적 처치 보상")</f>
        <v>치명타 배율</v>
      </c>
      <c r="O47" s="4" t="str">
        <f t="shared" si="1"/>
        <v>말벌</v>
      </c>
    </row>
    <row r="48" spans="1:15" ht="17.25" customHeight="1">
      <c r="A48" s="16" t="s">
        <v>297</v>
      </c>
      <c r="B48" s="16" t="str">
        <f t="shared" si="0"/>
        <v>공속의 룬 (궁수)</v>
      </c>
      <c r="C48" s="17"/>
      <c r="D48" s="17" t="s">
        <v>54</v>
      </c>
      <c r="E48" s="16" t="s">
        <v>29</v>
      </c>
      <c r="F48" s="16" t="s">
        <v>45</v>
      </c>
      <c r="G48" s="16" t="s">
        <v>122</v>
      </c>
      <c r="H48" s="16" t="str">
        <f t="shared" si="5"/>
        <v>궁수의 공격속도을 1.5% 증가시킨다.</v>
      </c>
      <c r="I48" s="17" t="s">
        <v>272</v>
      </c>
      <c r="J48" s="4">
        <v>1.5</v>
      </c>
      <c r="K48" s="4"/>
      <c r="L48" s="4"/>
      <c r="M48" s="4" t="str" cm="1">
        <f t="array" ref="M48" xml:space="preserve"> _xlfn.SWITCH(F48,"Warrior","전사","Mage","마법사","Archer","궁수","전체")</f>
        <v>궁수</v>
      </c>
      <c r="N48" s="4" t="str" cm="1">
        <f t="array" ref="N48">_xlfn.SWITCH(I48,"Atk","공격력","HP","체력","Crit_Chance","치명타 확률","Crit_Mult","치명타 배율","Atk_Cooldown","공격속도","Skill_Cooldown","쿨타임 감소","Labor_Gold","퀘스트 보상","Hunt_Gold","적 처치 보상")</f>
        <v>공격속도</v>
      </c>
      <c r="O48" s="4" t="str">
        <f t="shared" si="1"/>
        <v>공속</v>
      </c>
    </row>
    <row r="49" spans="1:15" ht="17.25" customHeight="1">
      <c r="A49" s="16" t="s">
        <v>298</v>
      </c>
      <c r="B49" s="16" t="str">
        <f t="shared" si="0"/>
        <v>쿨감의 룬 (궁수)</v>
      </c>
      <c r="C49" s="17"/>
      <c r="D49" s="17" t="s">
        <v>54</v>
      </c>
      <c r="E49" s="16" t="s">
        <v>29</v>
      </c>
      <c r="F49" s="16" t="s">
        <v>45</v>
      </c>
      <c r="G49" s="16" t="s">
        <v>122</v>
      </c>
      <c r="H49" s="16" t="str">
        <f t="shared" si="5"/>
        <v>궁수의 쿨타임 감소을 1.5% 증가시킨다.</v>
      </c>
      <c r="I49" s="17" t="s">
        <v>274</v>
      </c>
      <c r="J49" s="4">
        <v>1.5</v>
      </c>
      <c r="K49" s="4"/>
      <c r="L49" s="4"/>
      <c r="M49" s="4" t="str" cm="1">
        <f t="array" ref="M49" xml:space="preserve"> _xlfn.SWITCH(F49,"Warrior","전사","Mage","마법사","Archer","궁수","전체")</f>
        <v>궁수</v>
      </c>
      <c r="N49" s="4" t="str" cm="1">
        <f t="array" ref="N49">_xlfn.SWITCH(I49,"Atk","공격력","HP","체력","Crit_Chance","치명타 확률","Crit_Mult","치명타 배율","Atk_Cooldown","공격속도","Skill_Cooldown","쿨타임 감소","Labor_Gold","퀘스트 보상","Hunt_Gold","적 처치 보상")</f>
        <v>쿨타임 감소</v>
      </c>
      <c r="O49" s="4" t="str">
        <f t="shared" si="1"/>
        <v>쿨감</v>
      </c>
    </row>
    <row r="50" spans="1:15" ht="17.25" customHeight="1">
      <c r="A50" s="16" t="s">
        <v>299</v>
      </c>
      <c r="B50" s="16" t="str">
        <f t="shared" si="0"/>
        <v>힘의 룬 (마법사)</v>
      </c>
      <c r="C50" s="17"/>
      <c r="D50" s="17" t="s">
        <v>54</v>
      </c>
      <c r="E50" s="16" t="s">
        <v>29</v>
      </c>
      <c r="F50" s="16" t="s">
        <v>50</v>
      </c>
      <c r="G50" s="16" t="s">
        <v>122</v>
      </c>
      <c r="H50" s="16" t="str">
        <f t="shared" si="5"/>
        <v>마법사의 공격력을 270% 증가시킨다.</v>
      </c>
      <c r="I50" s="16" t="s">
        <v>253</v>
      </c>
      <c r="J50" s="4">
        <v>270</v>
      </c>
      <c r="K50" s="4"/>
      <c r="L50" s="4"/>
      <c r="M50" s="4" t="str" cm="1">
        <f t="array" ref="M50" xml:space="preserve"> _xlfn.SWITCH(F50,"Warrior","전사","Mage","마법사","Archer","궁수","전체")</f>
        <v>마법사</v>
      </c>
      <c r="N50" s="4" t="str" cm="1">
        <f t="array" ref="N50">_xlfn.SWITCH(I50,"Atk","공격력","HP","체력","Crit_Chance","치명타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50" s="4" t="str">
        <f t="shared" si="1"/>
        <v>힘</v>
      </c>
    </row>
    <row r="51" spans="1:15" ht="17.25" customHeight="1">
      <c r="A51" s="16" t="s">
        <v>300</v>
      </c>
      <c r="B51" s="16" t="str">
        <f t="shared" si="0"/>
        <v>생명의 룬 (마법사)</v>
      </c>
      <c r="C51" s="17"/>
      <c r="D51" s="17" t="s">
        <v>54</v>
      </c>
      <c r="E51" s="16" t="s">
        <v>29</v>
      </c>
      <c r="F51" s="16" t="s">
        <v>50</v>
      </c>
      <c r="G51" s="16" t="s">
        <v>122</v>
      </c>
      <c r="H51" s="16" t="str">
        <f t="shared" si="5"/>
        <v>마법사의 체력을 270% 증가시킨다.</v>
      </c>
      <c r="I51" s="16" t="s">
        <v>255</v>
      </c>
      <c r="J51" s="4">
        <v>270</v>
      </c>
      <c r="K51" s="4"/>
      <c r="L51" s="4"/>
      <c r="M51" s="4" t="str" cm="1">
        <f t="array" ref="M51" xml:space="preserve"> _xlfn.SWITCH(F51,"Warrior","전사","Mage","마법사","Archer","궁수","전체")</f>
        <v>마법사</v>
      </c>
      <c r="N51" s="4" t="str" cm="1">
        <f t="array" ref="N51">_xlfn.SWITCH(I51,"Atk","공격력","HP","체력","Crit_Chance","치명타 확률","Crit_Mult","치명타 배율","Atk_Cooldown","공격속도","Skill_Cooldown","쿨타임 감소","Labor_Gold","퀘스트 보상","Hunt_Gold","적 처치 보상")</f>
        <v>체력</v>
      </c>
      <c r="O51" s="4" t="str">
        <f t="shared" si="1"/>
        <v>생명</v>
      </c>
    </row>
    <row r="52" spans="1:15" ht="17.25" customHeight="1">
      <c r="A52" s="16" t="s">
        <v>301</v>
      </c>
      <c r="B52" s="16" t="str">
        <f t="shared" si="0"/>
        <v>매의 룬 (마법사)</v>
      </c>
      <c r="C52" s="17"/>
      <c r="D52" s="17" t="s">
        <v>54</v>
      </c>
      <c r="E52" s="16" t="s">
        <v>29</v>
      </c>
      <c r="F52" s="16" t="s">
        <v>50</v>
      </c>
      <c r="G52" s="16" t="s">
        <v>122</v>
      </c>
      <c r="H52" s="16" t="str">
        <f t="shared" si="5"/>
        <v>마법사의 치명타 확률을 1.5% 증가시킨다.</v>
      </c>
      <c r="I52" s="17" t="s">
        <v>268</v>
      </c>
      <c r="J52" s="4">
        <v>1.5</v>
      </c>
      <c r="K52" s="4"/>
      <c r="L52" s="4"/>
      <c r="M52" s="4" t="str" cm="1">
        <f t="array" ref="M52" xml:space="preserve"> _xlfn.SWITCH(F52,"Warrior","전사","Mage","마법사","Archer","궁수","전체")</f>
        <v>마법사</v>
      </c>
      <c r="N52" s="4" t="str" cm="1">
        <f t="array" ref="N52">_xlfn.SWITCH(I52,"Atk","공격력","HP","체력","Crit_Chance","치명타 확률","Crit_Mult","치명타 배율","Atk_Cooldown","공격속도","Skill_Cooldown","쿨타임 감소","Labor_Gold","퀘스트 보상","Hunt_Gold","적 처치 보상")</f>
        <v>치명타 확률</v>
      </c>
      <c r="O52" s="4" t="str">
        <f t="shared" si="1"/>
        <v>매</v>
      </c>
    </row>
    <row r="53" spans="1:15" ht="17.25" customHeight="1">
      <c r="A53" s="16" t="s">
        <v>302</v>
      </c>
      <c r="B53" s="16" t="str">
        <f t="shared" si="0"/>
        <v>말벌의 룬 (마법사)</v>
      </c>
      <c r="C53" s="17"/>
      <c r="D53" s="17" t="s">
        <v>54</v>
      </c>
      <c r="E53" s="16" t="s">
        <v>29</v>
      </c>
      <c r="F53" s="16" t="s">
        <v>50</v>
      </c>
      <c r="G53" s="16" t="s">
        <v>122</v>
      </c>
      <c r="H53" s="16" t="str">
        <f t="shared" si="5"/>
        <v>마법사의 치명타 배율을 3% 증가시킨다.</v>
      </c>
      <c r="I53" s="17" t="s">
        <v>270</v>
      </c>
      <c r="J53" s="4">
        <v>3</v>
      </c>
      <c r="K53" s="4"/>
      <c r="L53" s="4"/>
      <c r="M53" s="4" t="str" cm="1">
        <f t="array" ref="M53" xml:space="preserve"> _xlfn.SWITCH(F53,"Warrior","전사","Mage","마법사","Archer","궁수","전체")</f>
        <v>마법사</v>
      </c>
      <c r="N53" s="4" t="str" cm="1">
        <f t="array" ref="N53">_xlfn.SWITCH(I53,"Atk","공격력","HP","체력","Crit_Chance","치명타 확률","Crit_Mult","치명타 배율","Atk_Cooldown","공격속도","Skill_Cooldown","쿨타임 감소","Labor_Gold","퀘스트 보상","Hunt_Gold","적 처치 보상")</f>
        <v>치명타 배율</v>
      </c>
      <c r="O53" s="4" t="str">
        <f t="shared" si="1"/>
        <v>말벌</v>
      </c>
    </row>
    <row r="54" spans="1:15" ht="17.25" customHeight="1">
      <c r="A54" s="16" t="s">
        <v>303</v>
      </c>
      <c r="B54" s="16" t="str">
        <f t="shared" si="0"/>
        <v>공속의 룬 (마법사)</v>
      </c>
      <c r="C54" s="17"/>
      <c r="D54" s="17" t="s">
        <v>54</v>
      </c>
      <c r="E54" s="16" t="s">
        <v>29</v>
      </c>
      <c r="F54" s="16" t="s">
        <v>50</v>
      </c>
      <c r="G54" s="16" t="s">
        <v>122</v>
      </c>
      <c r="H54" s="16" t="str">
        <f t="shared" si="5"/>
        <v>마법사의 공격속도을 1.5% 증가시킨다.</v>
      </c>
      <c r="I54" s="17" t="s">
        <v>272</v>
      </c>
      <c r="J54" s="4">
        <v>1.5</v>
      </c>
      <c r="K54" s="4"/>
      <c r="L54" s="4"/>
      <c r="M54" s="4" t="str" cm="1">
        <f t="array" ref="M54" xml:space="preserve"> _xlfn.SWITCH(F54,"Warrior","전사","Mage","마법사","Archer","궁수","전체")</f>
        <v>마법사</v>
      </c>
      <c r="N54" s="4" t="str" cm="1">
        <f t="array" ref="N54">_xlfn.SWITCH(I54,"Atk","공격력","HP","체력","Crit_Chance","치명타 확률","Crit_Mult","치명타 배율","Atk_Cooldown","공격속도","Skill_Cooldown","쿨타임 감소","Labor_Gold","퀘스트 보상","Hunt_Gold","적 처치 보상")</f>
        <v>공격속도</v>
      </c>
      <c r="O54" s="4" t="str">
        <f t="shared" si="1"/>
        <v>공속</v>
      </c>
    </row>
    <row r="55" spans="1:15" ht="17.25" customHeight="1">
      <c r="A55" s="16" t="s">
        <v>304</v>
      </c>
      <c r="B55" s="16" t="str">
        <f t="shared" si="0"/>
        <v>쿨감의 룬 (마법사)</v>
      </c>
      <c r="C55" s="17"/>
      <c r="D55" s="17" t="s">
        <v>54</v>
      </c>
      <c r="E55" s="16" t="s">
        <v>29</v>
      </c>
      <c r="F55" s="16" t="s">
        <v>50</v>
      </c>
      <c r="G55" s="16" t="s">
        <v>122</v>
      </c>
      <c r="H55" s="16" t="str">
        <f t="shared" si="5"/>
        <v>마법사의 쿨타임 감소을 1.5% 증가시킨다.</v>
      </c>
      <c r="I55" s="17" t="s">
        <v>274</v>
      </c>
      <c r="J55" s="4">
        <v>1.5</v>
      </c>
      <c r="K55" s="4"/>
      <c r="L55" s="4"/>
      <c r="M55" s="4" t="str" cm="1">
        <f t="array" ref="M55" xml:space="preserve"> _xlfn.SWITCH(F55,"Warrior","전사","Mage","마법사","Archer","궁수","전체")</f>
        <v>마법사</v>
      </c>
      <c r="N55" s="4" t="str" cm="1">
        <f t="array" ref="N55">_xlfn.SWITCH(I55,"Atk","공격력","HP","체력","Crit_Chance","치명타 확률","Crit_Mult","치명타 배율","Atk_Cooldown","공격속도","Skill_Cooldown","쿨타임 감소","Labor_Gold","퀘스트 보상","Hunt_Gold","적 처치 보상")</f>
        <v>쿨타임 감소</v>
      </c>
      <c r="O55" s="4" t="str">
        <f t="shared" si="1"/>
        <v>쿨감</v>
      </c>
    </row>
    <row r="56" spans="1:15" ht="17.25" customHeight="1">
      <c r="A56" s="16" t="s">
        <v>568</v>
      </c>
      <c r="B56" s="16" t="str">
        <f t="shared" si="0"/>
        <v>풍양의 룬 (전체)</v>
      </c>
      <c r="C56" s="17"/>
      <c r="D56" s="17" t="s">
        <v>54</v>
      </c>
      <c r="E56" s="16" t="s">
        <v>306</v>
      </c>
      <c r="F56" s="16" t="s">
        <v>122</v>
      </c>
      <c r="G56" s="16" t="s">
        <v>122</v>
      </c>
      <c r="H56" s="16" t="str">
        <f>N56 &amp; "을 "&amp;J56&amp;"% 증가시킨다."</f>
        <v>퀘스트 보상을 270% 증가시킨다.</v>
      </c>
      <c r="I56" s="17" t="s">
        <v>563</v>
      </c>
      <c r="J56" s="4">
        <v>270</v>
      </c>
      <c r="K56" s="4"/>
      <c r="L56" s="4"/>
      <c r="M56" s="4" t="str" cm="1">
        <f t="array" ref="M56" xml:space="preserve"> _xlfn.SWITCH(F56,"Warrior","전사","Mage","마법사","Archer","궁수","전체")</f>
        <v>전체</v>
      </c>
      <c r="N56" s="4" t="str" cm="1">
        <f t="array" ref="N56">_xlfn.SWITCH(I56,"Atk","공격력","HP","체력","Crit_Chance","치명타 확률","Crit_Mult","치명타 배율","Atk_Cooldown","공격속도","Skill_Cooldown","쿨타임 감소","Labor_Gold","퀘스트 보상","Hunt_Gold","적 처치 보상")</f>
        <v>퀘스트 보상</v>
      </c>
      <c r="O56" s="4" t="str">
        <f t="shared" si="1"/>
        <v>풍양</v>
      </c>
    </row>
    <row r="57" spans="1:15" ht="17.25" customHeight="1">
      <c r="A57" s="16" t="s">
        <v>569</v>
      </c>
      <c r="B57" s="16" t="str">
        <f t="shared" si="0"/>
        <v>수렵의 룬 (전체)</v>
      </c>
      <c r="C57" s="17"/>
      <c r="D57" s="17" t="s">
        <v>54</v>
      </c>
      <c r="E57" s="16" t="s">
        <v>306</v>
      </c>
      <c r="F57" s="16" t="s">
        <v>122</v>
      </c>
      <c r="G57" s="16" t="s">
        <v>122</v>
      </c>
      <c r="H57" s="16" t="str">
        <f>N57 &amp; "을 "&amp;J57&amp;"% 증가시킨다."</f>
        <v>적 처치 보상을 270% 증가시킨다.</v>
      </c>
      <c r="I57" s="17" t="s">
        <v>564</v>
      </c>
      <c r="J57" s="4">
        <v>270</v>
      </c>
      <c r="K57" s="4"/>
      <c r="L57" s="4"/>
      <c r="M57" s="4" t="str" cm="1">
        <f t="array" ref="M57" xml:space="preserve"> _xlfn.SWITCH(F57,"Warrior","전사","Mage","마법사","Archer","궁수","전체")</f>
        <v>전체</v>
      </c>
      <c r="N57" s="4" t="str" cm="1">
        <f t="array" ref="N57">_xlfn.SWITCH(I57,"Atk","공격력","HP","체력","Crit_Chance","치명타 확률","Crit_Mult","치명타 배율","Atk_Cooldown","공격속도","Skill_Cooldown","쿨타임 감소","Labor_Gold","퀘스트 보상","Hunt_Gold","적 처치 보상")</f>
        <v>적 처치 보상</v>
      </c>
      <c r="O57" s="4" t="str">
        <f t="shared" si="1"/>
        <v>수렵</v>
      </c>
    </row>
    <row r="58" spans="1:15" ht="17.25" customHeight="1">
      <c r="A58" s="18" t="s">
        <v>305</v>
      </c>
      <c r="B58" s="18" t="str">
        <f>O58&amp;"의 룬 (" &amp;M58&amp; ")"</f>
        <v>힘의 룬 (전체)</v>
      </c>
      <c r="C58" s="19"/>
      <c r="D58" s="19" t="s">
        <v>57</v>
      </c>
      <c r="E58" s="18" t="s">
        <v>561</v>
      </c>
      <c r="F58" s="18" t="s">
        <v>122</v>
      </c>
      <c r="G58" s="18" t="s">
        <v>122</v>
      </c>
      <c r="H58" s="18" t="s">
        <v>307</v>
      </c>
      <c r="I58" s="18" t="s">
        <v>253</v>
      </c>
      <c r="J58" s="4">
        <v>1000</v>
      </c>
      <c r="K58" s="4"/>
      <c r="L58" s="4"/>
      <c r="M58" s="4" t="str" cm="1">
        <f t="array" ref="M58" xml:space="preserve"> _xlfn.SWITCH(F58,"Warrior","전사","Mage","마법사","Archer","궁수","전체")</f>
        <v>전체</v>
      </c>
      <c r="N58" s="4" t="str" cm="1">
        <f t="array" ref="N58">_xlfn.SWITCH(I58,"Atk","공격력","HP","체력","Crit_Chance","치명타 확률","Crit_Mult","치명타 배율","Atk_Cooldown","공격속도","Skill_Cooldown","쿨타임 감소","Labor_Gold","퀘스트 보상","Hunt_Gold","적 처치 보상")</f>
        <v>공격력</v>
      </c>
      <c r="O58" s="4" t="str">
        <f t="shared" si="1"/>
        <v>힘</v>
      </c>
    </row>
    <row r="59" spans="1:15" ht="17.25" customHeight="1">
      <c r="A59" s="18" t="s">
        <v>308</v>
      </c>
      <c r="B59" s="18" t="str">
        <f t="shared" ref="B59:B61" si="6">O59&amp;"의 룬 (" &amp;M59&amp; ")"</f>
        <v>생명의 룬 (전체)</v>
      </c>
      <c r="C59" s="19"/>
      <c r="D59" s="19" t="s">
        <v>57</v>
      </c>
      <c r="E59" s="18" t="s">
        <v>306</v>
      </c>
      <c r="F59" s="18" t="s">
        <v>122</v>
      </c>
      <c r="G59" s="18" t="s">
        <v>122</v>
      </c>
      <c r="H59" s="18" t="s">
        <v>309</v>
      </c>
      <c r="I59" s="18" t="s">
        <v>255</v>
      </c>
      <c r="J59" s="4">
        <v>1000</v>
      </c>
      <c r="K59" s="4"/>
      <c r="L59" s="4"/>
      <c r="M59" s="4" t="str" cm="1">
        <f t="array" ref="M59" xml:space="preserve"> _xlfn.SWITCH(F59,"Warrior","전사","Mage","마법사","Archer","궁수","전체")</f>
        <v>전체</v>
      </c>
      <c r="N59" s="4" t="str" cm="1">
        <f t="array" ref="N59">_xlfn.SWITCH(I59,"Atk","공격력","HP","체력","Crit_Chance","치명타 확률","Crit_Mult","치명타 배율","Atk_Cooldown","공격속도","Skill_Cooldown","쿨타임 감소","Labor_Gold","퀘스트 보상","Hunt_Gold","적 처치 보상")</f>
        <v>체력</v>
      </c>
      <c r="O59" s="4" t="str">
        <f>IF(N59="공격력","힘",
 IF(N59="체력","생명",
 IF(N59="치명타 확률","매",
 IF(N59="치명타 배율","말벌",
 IF(N59="공격속도","공속",
 IF(N59="쿨타임 감소","쿨감",
 IF(N59="퀘스트 보상","풍양",
 IF(N59="적 처치 보상","수렵",N59))))))))</f>
        <v>생명</v>
      </c>
    </row>
    <row r="60" spans="1:15" ht="17.25" customHeight="1">
      <c r="A60" s="18" t="s">
        <v>310</v>
      </c>
      <c r="B60" s="18" t="str">
        <f t="shared" si="6"/>
        <v>풍양의 룬 (전체)</v>
      </c>
      <c r="C60" s="19"/>
      <c r="D60" s="19" t="s">
        <v>57</v>
      </c>
      <c r="E60" s="18" t="s">
        <v>306</v>
      </c>
      <c r="F60" s="18" t="s">
        <v>122</v>
      </c>
      <c r="G60" s="18" t="s">
        <v>122</v>
      </c>
      <c r="H60" s="18" t="str">
        <f xml:space="preserve"> "퀘스트 보상을 " &amp;J60&amp;"%증가시킨다."</f>
        <v>퀘스트 보상을 50%증가시킨다.</v>
      </c>
      <c r="I60" s="19" t="s">
        <v>563</v>
      </c>
      <c r="J60" s="4">
        <v>50</v>
      </c>
      <c r="K60" s="4"/>
      <c r="L60" s="4"/>
      <c r="M60" s="4" t="str" cm="1">
        <f t="array" ref="M60" xml:space="preserve"> _xlfn.SWITCH(F60,"Warrior","전사","Mage","마법사","Archer","궁수","전체")</f>
        <v>전체</v>
      </c>
      <c r="N60" s="4" t="str" cm="1">
        <f t="array" ref="N60">_xlfn.SWITCH(I60,"Atk","공격력","HP","체력","Crit_Chance","치명타 확률","Crit_Mult","치명타 배율","Atk_Cooldown","공격속도","Skill_Cooldown","쿨타임 감소","Labor_Gold","퀘스트 보상","Hunt_Gold","적 처치 보상")</f>
        <v>퀘스트 보상</v>
      </c>
      <c r="O60" s="4" t="str">
        <f>IF(N60="공격력","힘",
 IF(N60="체력","생명",
 IF(N60="치명타 확률","매",
 IF(N60="치명타 배율","말벌",
 IF(N60="공격속도","공속",
 IF(N60="쿨타임 감소","쿨감",
 IF(N60="퀘스트 보상","풍양",
 IF(N60="적 처치 보상","수렵",N60))))))))</f>
        <v>풍양</v>
      </c>
    </row>
    <row r="61" spans="1:15" ht="17.25" customHeight="1">
      <c r="A61" s="18" t="s">
        <v>311</v>
      </c>
      <c r="B61" s="18" t="str">
        <f t="shared" si="6"/>
        <v>수렵의 룬 (전체)</v>
      </c>
      <c r="C61" s="19"/>
      <c r="D61" s="19" t="s">
        <v>57</v>
      </c>
      <c r="E61" s="18" t="s">
        <v>306</v>
      </c>
      <c r="F61" s="18" t="s">
        <v>122</v>
      </c>
      <c r="G61" s="18" t="s">
        <v>122</v>
      </c>
      <c r="H61" s="19" t="str">
        <f xml:space="preserve"> "적 처치 보상을 "&amp;J61&amp;"% 증가시킨다."</f>
        <v>적 처치 보상을 50% 증가시킨다.</v>
      </c>
      <c r="I61" s="19" t="s">
        <v>564</v>
      </c>
      <c r="J61" s="4">
        <v>50</v>
      </c>
      <c r="K61" s="4"/>
      <c r="L61" s="4"/>
      <c r="M61" s="4" t="str" cm="1">
        <f t="array" ref="M61" xml:space="preserve"> _xlfn.SWITCH(F61,"Warrior","전사","Mage","마법사","Archer","궁수","전체")</f>
        <v>전체</v>
      </c>
      <c r="N61" s="4" t="str" cm="1">
        <f t="array" ref="N61">_xlfn.SWITCH(I61,"Atk","공격력","HP","체력","Crit_Chance","치명타 확률","Crit_Mult","치명타 배율","Atk_Cooldown","공격속도","Skill_Cooldown","쿨타임 감소","Labor_Gold","퀘스트 보상","Hunt_Gold","적 처치 보상")</f>
        <v>적 처치 보상</v>
      </c>
      <c r="O61" s="4" t="str">
        <f>IF(N61="공격력","힘",
 IF(N61="체력","생명",
 IF(N61="치명타 확률","매",
 IF(N61="치명타 배율","말벌",
 IF(N61="공격속도","공속",
 IF(N61="쿨타임 감소","쿨감",
 IF(N61="퀘스트 보상","풍양",
 IF(N61="적 처치 보상","수렵",N61))))))))</f>
        <v>수렵</v>
      </c>
    </row>
    <row r="62" spans="1:15" ht="17.25" customHeight="1">
      <c r="A62" s="19"/>
      <c r="B62" s="19"/>
      <c r="C62" s="19"/>
      <c r="D62" s="19"/>
      <c r="E62" s="19"/>
      <c r="F62" s="19"/>
      <c r="G62" s="19"/>
      <c r="H62" s="19"/>
      <c r="I62" s="19"/>
      <c r="J62" s="4"/>
      <c r="K62" s="4"/>
      <c r="L62" s="4"/>
      <c r="M62" s="4" t="str" cm="1">
        <f t="array" ref="M62" xml:space="preserve"> _xlfn.SWITCH(F62,"Warrior","전사","Mage","마법사","Archer","궁수","전체")</f>
        <v>전체</v>
      </c>
      <c r="N62" s="4" t="e" cm="1">
        <f t="array" ref="N62">_xlfn.SWITCH(I62,"Atk","공격력","HP","체력","Crit_Chance","치명타 확률","Crit_Mult","치명타 배율","Atk_Cooldown","공격속도","Skill_Cooldown","쿨타임 감소","Labor_Gold","퀘스트 보상","Hunt_Gold","적 처치 보상")</f>
        <v>#N/A</v>
      </c>
      <c r="O62" s="4"/>
    </row>
    <row r="63" spans="1:15" ht="17.25" customHeight="1">
      <c r="A63" s="18" t="s">
        <v>312</v>
      </c>
      <c r="B63" s="19" t="s">
        <v>313</v>
      </c>
      <c r="C63" s="19"/>
      <c r="D63" s="19" t="s">
        <v>57</v>
      </c>
      <c r="E63" s="18" t="s">
        <v>314</v>
      </c>
      <c r="F63" s="18" t="s">
        <v>122</v>
      </c>
      <c r="G63" s="18" t="s">
        <v>122</v>
      </c>
      <c r="H63" s="18" t="s">
        <v>315</v>
      </c>
      <c r="I63" s="19"/>
      <c r="J63" s="4"/>
      <c r="K63" s="4"/>
      <c r="L63" s="4"/>
      <c r="M63" s="4" t="str" cm="1">
        <f t="array" ref="M63" xml:space="preserve"> _xlfn.SWITCH(F63,"Warrior","전사","Mage","마법사","Archer","궁수","전체")</f>
        <v>전체</v>
      </c>
      <c r="N63" s="4" t="e" cm="1">
        <f t="array" ref="N63">_xlfn.SWITCH(I63,"Atk","공격력","HP","체력","Crit_Chance","치명타 확률","Crit_Mult","치명타 배율","Atk_Cooldown","공격속도","Skill_Cooldown","쿨타임 감소","Labor_Gold","퀘스트 보상","Hunt_Gold","적 처치 보상")</f>
        <v>#N/A</v>
      </c>
      <c r="O63" s="4"/>
    </row>
    <row r="64" spans="1:15" ht="17.25" customHeight="1">
      <c r="A64" s="18" t="s">
        <v>316</v>
      </c>
      <c r="B64" s="19" t="s">
        <v>313</v>
      </c>
      <c r="C64" s="19"/>
      <c r="D64" s="19" t="s">
        <v>57</v>
      </c>
      <c r="E64" s="18" t="s">
        <v>314</v>
      </c>
      <c r="F64" s="18" t="s">
        <v>122</v>
      </c>
      <c r="G64" s="18" t="s">
        <v>122</v>
      </c>
      <c r="H64" s="18" t="s">
        <v>317</v>
      </c>
      <c r="I64" s="19"/>
      <c r="J64" s="4"/>
      <c r="K64" s="4"/>
      <c r="L64" s="4"/>
      <c r="M64" s="4" t="str" cm="1">
        <f t="array" ref="M64" xml:space="preserve"> _xlfn.SWITCH(F64,"Warrior","전사","Mage","마법사","Archer","궁수","전체")</f>
        <v>전체</v>
      </c>
      <c r="N64" s="4" t="e" cm="1">
        <f t="array" ref="N64">_xlfn.SWITCH(I64,"Atk","공격력","HP","체력","Crit_Chance","치명타 확률","Crit_Mult","치명타 배율","Atk_Cooldown","공격속도","Skill_Cooldown","쿨타임 감소","Labor_Gold","퀘스트 보상","Hunt_Gold","적 처치 보상")</f>
        <v>#N/A</v>
      </c>
      <c r="O64" s="4"/>
    </row>
    <row r="65" spans="1:15" ht="17.25" customHeight="1">
      <c r="A65" s="18" t="s">
        <v>318</v>
      </c>
      <c r="B65" s="19" t="s">
        <v>313</v>
      </c>
      <c r="C65" s="19"/>
      <c r="D65" s="19" t="s">
        <v>57</v>
      </c>
      <c r="E65" s="18" t="s">
        <v>314</v>
      </c>
      <c r="F65" s="18" t="s">
        <v>122</v>
      </c>
      <c r="G65" s="18" t="s">
        <v>122</v>
      </c>
      <c r="H65" s="18" t="s">
        <v>319</v>
      </c>
      <c r="I65" s="19"/>
      <c r="J65" s="4"/>
      <c r="K65" s="4"/>
      <c r="L65" s="4"/>
      <c r="M65" s="4" t="str" cm="1">
        <f t="array" ref="M65" xml:space="preserve"> _xlfn.SWITCH(F65,"Warrior","전사","Mage","마법사","Archer","궁수","전체")</f>
        <v>전체</v>
      </c>
      <c r="N65" s="4" t="e" cm="1">
        <f t="array" ref="N65">_xlfn.SWITCH(I65,"Atk","공격력","HP","체력","Crit_Chance","치명타 확률","Crit_Mult","치명타 배율","Atk_Cooldown","공격속도","Skill_Cooldown","쿨타임 감소","Labor_Gold","퀘스트 보상","Hunt_Gold","적 처치 보상")</f>
        <v>#N/A</v>
      </c>
      <c r="O65" s="4"/>
    </row>
    <row r="66" spans="1:15" ht="17.25" customHeight="1">
      <c r="A66" s="18" t="s">
        <v>320</v>
      </c>
      <c r="B66" s="19" t="s">
        <v>313</v>
      </c>
      <c r="C66" s="19"/>
      <c r="D66" s="19" t="s">
        <v>57</v>
      </c>
      <c r="E66" s="18" t="s">
        <v>314</v>
      </c>
      <c r="F66" s="18" t="s">
        <v>122</v>
      </c>
      <c r="G66" s="18" t="s">
        <v>122</v>
      </c>
      <c r="H66" s="18" t="s">
        <v>321</v>
      </c>
      <c r="I66" s="19"/>
      <c r="J66" s="4"/>
      <c r="K66" s="4"/>
      <c r="L66" s="4"/>
      <c r="M66" s="4" t="str" cm="1">
        <f t="array" ref="M66" xml:space="preserve"> _xlfn.SWITCH(F66,"Warrior","전사","Mage","마법사","Archer","궁수","전체")</f>
        <v>전체</v>
      </c>
      <c r="N66" s="4" t="e" cm="1">
        <f t="array" ref="N66">_xlfn.SWITCH(I66,"Atk","공격력","HP","체력","Crit_Chance","치명타 확률","Crit_Mult","치명타 배율","Atk_Cooldown","공격속도","Skill_Cooldown","쿨타임 감소","Labor_Gold","퀘스트 보상","Hunt_Gold","적 처치 보상")</f>
        <v>#N/A</v>
      </c>
      <c r="O66" s="4"/>
    </row>
    <row r="67" spans="1:15" ht="17.25" customHeight="1"/>
    <row r="68" spans="1:15" ht="17.25" customHeight="1"/>
    <row r="69" spans="1:15" ht="17.25" customHeight="1"/>
    <row r="70" spans="1:15" ht="17.25" customHeight="1"/>
    <row r="71" spans="1:15" ht="17.25" customHeight="1"/>
    <row r="72" spans="1:15" ht="17.25" customHeight="1"/>
    <row r="73" spans="1:15" ht="17.25" customHeight="1"/>
    <row r="74" spans="1:15" ht="17.25" customHeight="1"/>
    <row r="75" spans="1:15" ht="17.25" customHeight="1"/>
    <row r="76" spans="1:15" ht="17.25" customHeight="1"/>
    <row r="77" spans="1:15" ht="17.25" customHeight="1"/>
    <row r="78" spans="1:15" ht="17.25" customHeight="1"/>
    <row r="79" spans="1:15" ht="17.25" customHeight="1"/>
    <row r="80" spans="1:15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</sheetData>
  <phoneticPr fontId="7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98"/>
  <sheetViews>
    <sheetView workbookViewId="0">
      <selection activeCell="G16" sqref="G16"/>
    </sheetView>
  </sheetViews>
  <sheetFormatPr defaultColWidth="14.42578125" defaultRowHeight="15" customHeight="1"/>
  <cols>
    <col min="1" max="1" width="15.42578125" customWidth="1"/>
    <col min="2" max="2" width="18.42578125" customWidth="1"/>
    <col min="3" max="3" width="6.42578125" customWidth="1"/>
    <col min="4" max="4" width="10.5703125" customWidth="1"/>
    <col min="5" max="5" width="11" customWidth="1"/>
    <col min="6" max="6" width="11.140625" customWidth="1"/>
    <col min="7" max="7" width="124" customWidth="1"/>
    <col min="8" max="8" width="18.7109375" customWidth="1"/>
    <col min="9" max="9" width="6.42578125" customWidth="1"/>
    <col min="10" max="10" width="15" customWidth="1"/>
    <col min="11" max="26" width="8.7109375" customWidth="1"/>
  </cols>
  <sheetData>
    <row r="1" spans="1:11" ht="17.25" customHeight="1">
      <c r="A1" s="20" t="s">
        <v>0</v>
      </c>
      <c r="B1" s="20" t="s">
        <v>27</v>
      </c>
      <c r="C1" s="20" t="s">
        <v>245</v>
      </c>
      <c r="D1" s="20" t="s">
        <v>30</v>
      </c>
      <c r="E1" s="20" t="s">
        <v>246</v>
      </c>
      <c r="F1" s="20" t="s">
        <v>247</v>
      </c>
      <c r="G1" s="20" t="s">
        <v>37</v>
      </c>
      <c r="H1" s="20" t="s">
        <v>322</v>
      </c>
      <c r="I1" s="20" t="s">
        <v>323</v>
      </c>
      <c r="J1" s="20" t="s">
        <v>324</v>
      </c>
    </row>
    <row r="2" spans="1:11" ht="17.25" customHeight="1">
      <c r="A2" s="21" t="s">
        <v>325</v>
      </c>
      <c r="B2" s="21" t="s">
        <v>326</v>
      </c>
      <c r="C2" s="22"/>
      <c r="D2" s="21" t="s">
        <v>41</v>
      </c>
      <c r="E2" s="21" t="s">
        <v>306</v>
      </c>
      <c r="F2" s="21" t="s">
        <v>122</v>
      </c>
      <c r="G2" s="21" t="str">
        <f>"공격력이 " &amp; I2 &amp; "%증가합니다."</f>
        <v>공격력이 10%증가합니다.</v>
      </c>
      <c r="H2" s="23" t="s">
        <v>327</v>
      </c>
      <c r="I2" s="24">
        <v>10</v>
      </c>
      <c r="J2" s="23" t="s">
        <v>253</v>
      </c>
    </row>
    <row r="3" spans="1:11" ht="17.25" customHeight="1">
      <c r="A3" s="21" t="s">
        <v>328</v>
      </c>
      <c r="B3" s="21" t="s">
        <v>329</v>
      </c>
      <c r="C3" s="22"/>
      <c r="D3" s="21" t="s">
        <v>41</v>
      </c>
      <c r="E3" s="21" t="s">
        <v>306</v>
      </c>
      <c r="F3" s="21" t="s">
        <v>122</v>
      </c>
      <c r="G3" s="21" t="str">
        <f>"최대 체력이 " &amp; I3 &amp; "% 증가합니다."</f>
        <v>최대 체력이 10% 증가합니다.</v>
      </c>
      <c r="H3" s="23" t="s">
        <v>327</v>
      </c>
      <c r="I3" s="24">
        <v>10</v>
      </c>
      <c r="J3" s="23" t="s">
        <v>255</v>
      </c>
    </row>
    <row r="4" spans="1:11" ht="17.25" customHeight="1">
      <c r="A4" s="21" t="s">
        <v>330</v>
      </c>
      <c r="B4" s="21" t="s">
        <v>331</v>
      </c>
      <c r="C4" s="22"/>
      <c r="D4" s="21" t="s">
        <v>41</v>
      </c>
      <c r="E4" s="21" t="s">
        <v>306</v>
      </c>
      <c r="F4" s="21" t="s">
        <v>122</v>
      </c>
      <c r="G4" s="21" t="str">
        <f>"일반 몬스터를 공격할 때 피해량이 " &amp; I4 &amp; "% 증가합니다."</f>
        <v>일반 몬스터를 공격할 때 피해량이 10% 증가합니다.</v>
      </c>
      <c r="H4" s="23" t="s">
        <v>327</v>
      </c>
      <c r="I4" s="24">
        <v>10</v>
      </c>
      <c r="J4" s="23" t="s">
        <v>253</v>
      </c>
    </row>
    <row r="5" spans="1:11" ht="17.25" customHeight="1">
      <c r="A5" s="21" t="s">
        <v>332</v>
      </c>
      <c r="B5" s="21" t="s">
        <v>333</v>
      </c>
      <c r="C5" s="22"/>
      <c r="D5" s="21" t="s">
        <v>41</v>
      </c>
      <c r="E5" s="21" t="s">
        <v>306</v>
      </c>
      <c r="F5" s="21" t="s">
        <v>122</v>
      </c>
      <c r="G5" s="21" t="str">
        <f>"보스 몬스터를 공격할 때 피해량이 " &amp; I5 &amp; "% 증가합니다."</f>
        <v>보스 몬스터를 공격할 때 피해량이 10% 증가합니다.</v>
      </c>
      <c r="H5" s="23" t="s">
        <v>327</v>
      </c>
      <c r="I5" s="24">
        <v>10</v>
      </c>
      <c r="J5" s="23" t="s">
        <v>253</v>
      </c>
    </row>
    <row r="6" spans="1:11" ht="17.25" customHeight="1">
      <c r="A6" s="21" t="s">
        <v>334</v>
      </c>
      <c r="B6" s="21" t="s">
        <v>335</v>
      </c>
      <c r="C6" s="22"/>
      <c r="D6" s="21" t="s">
        <v>41</v>
      </c>
      <c r="E6" s="21" t="s">
        <v>306</v>
      </c>
      <c r="F6" s="21" t="s">
        <v>122</v>
      </c>
      <c r="G6" s="21" t="str">
        <f>"이동속도가 " &amp; I6 &amp; "% 증가합니다."</f>
        <v>이동속도가 10% 증가합니다.</v>
      </c>
      <c r="H6" s="23" t="s">
        <v>327</v>
      </c>
      <c r="I6" s="24">
        <v>10</v>
      </c>
      <c r="J6" s="24" t="s">
        <v>336</v>
      </c>
    </row>
    <row r="7" spans="1:11" ht="17.25" customHeight="1">
      <c r="A7" s="21" t="s">
        <v>337</v>
      </c>
      <c r="B7" s="21" t="s">
        <v>338</v>
      </c>
      <c r="C7" s="22"/>
      <c r="D7" s="21" t="s">
        <v>41</v>
      </c>
      <c r="E7" s="21" t="s">
        <v>306</v>
      </c>
      <c r="F7" s="21" t="s">
        <v>122</v>
      </c>
      <c r="G7" s="21" t="str">
        <f>"치명타 확률이 " &amp; I7 &amp; "% 증가합니다."</f>
        <v>치명타 확률이 10% 증가합니다.</v>
      </c>
      <c r="H7" s="23" t="s">
        <v>327</v>
      </c>
      <c r="I7" s="24">
        <v>10</v>
      </c>
      <c r="J7" s="24" t="s">
        <v>268</v>
      </c>
    </row>
    <row r="8" spans="1:11" ht="17.25" customHeight="1">
      <c r="A8" s="21" t="s">
        <v>339</v>
      </c>
      <c r="B8" s="21" t="s">
        <v>340</v>
      </c>
      <c r="C8" s="22"/>
      <c r="D8" s="21" t="s">
        <v>41</v>
      </c>
      <c r="E8" s="21" t="s">
        <v>306</v>
      </c>
      <c r="F8" s="21" t="s">
        <v>122</v>
      </c>
      <c r="G8" s="21" t="str">
        <f>"치명타 피해량이 " &amp; I8 &amp; "% 증가합니다."</f>
        <v>치명타 피해량이 10% 증가합니다.</v>
      </c>
      <c r="H8" s="23" t="s">
        <v>327</v>
      </c>
      <c r="I8" s="24">
        <v>10</v>
      </c>
      <c r="J8" s="24" t="s">
        <v>270</v>
      </c>
    </row>
    <row r="9" spans="1:11" ht="17.25" customHeight="1">
      <c r="A9" s="21" t="s">
        <v>341</v>
      </c>
      <c r="B9" s="21" t="s">
        <v>342</v>
      </c>
      <c r="C9" s="22"/>
      <c r="D9" s="21" t="s">
        <v>41</v>
      </c>
      <c r="E9" s="21" t="s">
        <v>306</v>
      </c>
      <c r="F9" s="21" t="s">
        <v>122</v>
      </c>
      <c r="G9" s="21" t="str">
        <f>"스킬 피해량이 " &amp; I9 &amp; "% 증가합니다."</f>
        <v>스킬 피해량이 10% 증가합니다.</v>
      </c>
      <c r="H9" s="23" t="s">
        <v>327</v>
      </c>
      <c r="I9" s="24">
        <v>10</v>
      </c>
      <c r="J9" s="24" t="s">
        <v>253</v>
      </c>
    </row>
    <row r="10" spans="1:11" ht="17.25" customHeight="1">
      <c r="A10" s="21" t="s">
        <v>343</v>
      </c>
      <c r="B10" s="21" t="s">
        <v>344</v>
      </c>
      <c r="C10" s="22"/>
      <c r="D10" s="21" t="s">
        <v>41</v>
      </c>
      <c r="E10" s="21" t="s">
        <v>306</v>
      </c>
      <c r="F10" s="21" t="s">
        <v>122</v>
      </c>
      <c r="G10" s="21" t="str">
        <f>"일반 공격의 쿨타임이 " &amp; I10 &amp; "% 감소합니다."</f>
        <v>일반 공격의 쿨타임이 10% 감소합니다.</v>
      </c>
      <c r="H10" s="23" t="s">
        <v>327</v>
      </c>
      <c r="I10" s="24">
        <v>10</v>
      </c>
      <c r="J10" s="24" t="s">
        <v>272</v>
      </c>
    </row>
    <row r="11" spans="1:11" ht="17.25" customHeight="1">
      <c r="A11" s="21" t="s">
        <v>345</v>
      </c>
      <c r="B11" s="21" t="s">
        <v>346</v>
      </c>
      <c r="C11" s="22"/>
      <c r="D11" s="21" t="s">
        <v>41</v>
      </c>
      <c r="E11" s="21" t="s">
        <v>306</v>
      </c>
      <c r="F11" s="21" t="s">
        <v>122</v>
      </c>
      <c r="G11" s="21" t="str">
        <f>"스킬의 쿨타임이 " &amp; I11 &amp; "% 감소합니다."</f>
        <v>스킬의 쿨타임이 10% 감소합니다.</v>
      </c>
      <c r="H11" s="23" t="s">
        <v>327</v>
      </c>
      <c r="I11" s="24">
        <v>10</v>
      </c>
      <c r="J11" s="24" t="s">
        <v>274</v>
      </c>
    </row>
    <row r="12" spans="1:11" ht="17.25" customHeight="1">
      <c r="A12" s="25" t="s">
        <v>347</v>
      </c>
      <c r="B12" s="25" t="s">
        <v>348</v>
      </c>
      <c r="C12" s="25"/>
      <c r="D12" s="25" t="s">
        <v>46</v>
      </c>
      <c r="E12" s="25" t="s">
        <v>306</v>
      </c>
      <c r="F12" s="25" t="s">
        <v>122</v>
      </c>
      <c r="G12" s="43" t="str">
        <f xml:space="preserve"> "공격 시 적의 체력이 20% 보다 적다면 피해량이 " &amp; I12 &amp; "% 증가합니다."</f>
        <v>공격 시 적의 체력이 20% 보다 적다면 피해량이 30% 증가합니다.</v>
      </c>
      <c r="H12" s="24" t="s">
        <v>349</v>
      </c>
      <c r="I12" s="24">
        <v>30</v>
      </c>
      <c r="J12" s="24" t="s">
        <v>122</v>
      </c>
      <c r="K12" s="8"/>
    </row>
    <row r="13" spans="1:11" ht="17.25" customHeight="1">
      <c r="A13" s="26" t="s">
        <v>350</v>
      </c>
      <c r="B13" s="27" t="s">
        <v>523</v>
      </c>
      <c r="C13" s="27"/>
      <c r="D13" s="26" t="s">
        <v>46</v>
      </c>
      <c r="E13" s="26" t="s">
        <v>306</v>
      </c>
      <c r="F13" s="26" t="s">
        <v>122</v>
      </c>
      <c r="G13" s="26" t="str">
        <f xml:space="preserve"> "스킬 쿨타임이 " &amp; I13 &amp; "% 감소합니다."</f>
        <v>스킬 쿨타임이 20% 감소합니다.</v>
      </c>
      <c r="H13" s="23" t="s">
        <v>327</v>
      </c>
      <c r="I13" s="24">
        <v>20</v>
      </c>
      <c r="J13" s="24" t="s">
        <v>274</v>
      </c>
    </row>
    <row r="14" spans="1:11" ht="17.25" customHeight="1">
      <c r="A14" s="26" t="s">
        <v>351</v>
      </c>
      <c r="B14" s="27" t="s">
        <v>524</v>
      </c>
      <c r="C14" s="27"/>
      <c r="D14" s="26" t="s">
        <v>46</v>
      </c>
      <c r="E14" s="26" t="s">
        <v>306</v>
      </c>
      <c r="F14" s="26" t="s">
        <v>122</v>
      </c>
      <c r="G14" s="26" t="str">
        <f>"일반 공격 쿨타임이 " &amp; I14 &amp; "% 감소합니다."</f>
        <v>일반 공격 쿨타임이 20% 감소합니다.</v>
      </c>
      <c r="H14" s="23" t="s">
        <v>327</v>
      </c>
      <c r="I14" s="24">
        <v>20</v>
      </c>
      <c r="J14" s="24" t="s">
        <v>272</v>
      </c>
    </row>
    <row r="15" spans="1:11" ht="17.25" customHeight="1">
      <c r="A15" s="26" t="s">
        <v>352</v>
      </c>
      <c r="B15" s="27" t="s">
        <v>353</v>
      </c>
      <c r="C15" s="27"/>
      <c r="D15" s="26" t="s">
        <v>46</v>
      </c>
      <c r="E15" s="26" t="s">
        <v>306</v>
      </c>
      <c r="F15" s="26" t="s">
        <v>122</v>
      </c>
      <c r="G15" s="26" t="str">
        <f xml:space="preserve"> "공격력이 "&amp;I15&amp;"% 증가하는 대신 체력이 25% 감소합니다."</f>
        <v>공격력이 75% 증가하는 대신 체력이 25% 감소합니다.</v>
      </c>
      <c r="H15" s="24" t="s">
        <v>354</v>
      </c>
      <c r="I15" s="24">
        <v>75</v>
      </c>
      <c r="J15" s="24" t="s">
        <v>122</v>
      </c>
    </row>
    <row r="16" spans="1:11" ht="17.25" customHeight="1">
      <c r="A16" s="26" t="s">
        <v>355</v>
      </c>
      <c r="B16" s="27" t="s">
        <v>356</v>
      </c>
      <c r="C16" s="27"/>
      <c r="D16" s="26" t="s">
        <v>46</v>
      </c>
      <c r="E16" s="26" t="s">
        <v>306</v>
      </c>
      <c r="F16" s="26" t="s">
        <v>122</v>
      </c>
      <c r="G16" s="26" t="str">
        <f xml:space="preserve"> "공격력이 "&amp;25&amp;"% 감소하는 대신 체력이 " &amp;I16&amp;"% 증가합니다."</f>
        <v>공격력이 25% 감소하는 대신 체력이 75% 증가합니다.</v>
      </c>
      <c r="H16" s="24" t="s">
        <v>357</v>
      </c>
      <c r="I16" s="24">
        <v>75</v>
      </c>
      <c r="J16" s="24" t="s">
        <v>122</v>
      </c>
    </row>
    <row r="17" spans="1:11" ht="17.25" customHeight="1">
      <c r="A17" s="26" t="s">
        <v>358</v>
      </c>
      <c r="B17" s="27" t="s">
        <v>359</v>
      </c>
      <c r="C17" s="27"/>
      <c r="D17" s="26" t="s">
        <v>46</v>
      </c>
      <c r="E17" s="26" t="s">
        <v>306</v>
      </c>
      <c r="F17" s="26" t="s">
        <v>122</v>
      </c>
      <c r="G17" s="44" t="str">
        <f>"5초마다 파티가 최대 체력의 "&amp;I17&amp;"%만큼 회복합니다."</f>
        <v>5초마다 파티가 최대 체력의 3%만큼 회복합니다.</v>
      </c>
      <c r="H17" s="24" t="s">
        <v>360</v>
      </c>
      <c r="I17" s="24">
        <v>3</v>
      </c>
      <c r="J17" s="24" t="s">
        <v>122</v>
      </c>
    </row>
    <row r="18" spans="1:11" ht="17.25" customHeight="1">
      <c r="A18" s="25" t="s">
        <v>361</v>
      </c>
      <c r="B18" s="25" t="s">
        <v>362</v>
      </c>
      <c r="C18" s="25"/>
      <c r="D18" s="25" t="s">
        <v>46</v>
      </c>
      <c r="E18" s="25" t="s">
        <v>306</v>
      </c>
      <c r="F18" s="25" t="s">
        <v>122</v>
      </c>
      <c r="G18" s="25" t="str">
        <f>"1번 칸에 위치한 캐릭터의 생명력이 "&amp;I18&amp;"% 증가합니다."</f>
        <v>1번 칸에 위치한 캐릭터의 생명력이 50% 증가합니다.</v>
      </c>
      <c r="H18" s="24" t="s">
        <v>363</v>
      </c>
      <c r="I18" s="24">
        <v>50</v>
      </c>
      <c r="J18" s="24" t="s">
        <v>122</v>
      </c>
    </row>
    <row r="19" spans="1:11" ht="17.25" customHeight="1">
      <c r="A19" s="25" t="s">
        <v>364</v>
      </c>
      <c r="B19" s="25" t="s">
        <v>365</v>
      </c>
      <c r="C19" s="25"/>
      <c r="D19" s="25" t="s">
        <v>46</v>
      </c>
      <c r="E19" s="25" t="s">
        <v>306</v>
      </c>
      <c r="F19" s="25" t="s">
        <v>122</v>
      </c>
      <c r="G19" s="25" t="str">
        <f>"2,3,4번 칸에 위치한 캐릭터들의 생명력이 "&amp;I19&amp;"% 증가합니다."</f>
        <v>2,3,4번 칸에 위치한 캐릭터들의 생명력이 30% 증가합니다.</v>
      </c>
      <c r="H19" s="24" t="s">
        <v>366</v>
      </c>
      <c r="I19" s="24">
        <v>30</v>
      </c>
      <c r="J19" s="24" t="s">
        <v>122</v>
      </c>
    </row>
    <row r="20" spans="1:11" ht="17.25" customHeight="1">
      <c r="A20" s="28" t="s">
        <v>367</v>
      </c>
      <c r="B20" s="28" t="s">
        <v>368</v>
      </c>
      <c r="C20" s="28"/>
      <c r="D20" s="28" t="s">
        <v>51</v>
      </c>
      <c r="E20" s="28" t="s">
        <v>306</v>
      </c>
      <c r="F20" s="28" t="s">
        <v>122</v>
      </c>
      <c r="G20" s="45" t="s">
        <v>522</v>
      </c>
      <c r="H20" s="24" t="s">
        <v>369</v>
      </c>
      <c r="I20" s="24">
        <v>50</v>
      </c>
      <c r="J20" s="24" t="s">
        <v>122</v>
      </c>
    </row>
    <row r="21" spans="1:11" ht="17.25" customHeight="1">
      <c r="A21" s="28" t="s">
        <v>370</v>
      </c>
      <c r="B21" s="28" t="s">
        <v>371</v>
      </c>
      <c r="C21" s="29"/>
      <c r="D21" s="28" t="s">
        <v>51</v>
      </c>
      <c r="E21" s="28" t="s">
        <v>306</v>
      </c>
      <c r="F21" s="28" t="s">
        <v>122</v>
      </c>
      <c r="G21" s="30" t="str">
        <f xml:space="preserve"> "공격 시 가한 피해량의 "&amp;I21&amp;"%만큼 회복합니다."</f>
        <v>공격 시 가한 피해량의 5%만큼 회복합니다.</v>
      </c>
      <c r="H21" s="24" t="s">
        <v>372</v>
      </c>
      <c r="I21" s="24">
        <v>5</v>
      </c>
      <c r="J21" s="24" t="s">
        <v>122</v>
      </c>
    </row>
    <row r="22" spans="1:11" ht="17.25" customHeight="1">
      <c r="A22" s="28" t="s">
        <v>373</v>
      </c>
      <c r="B22" s="28" t="s">
        <v>374</v>
      </c>
      <c r="C22" s="29"/>
      <c r="D22" s="28" t="s">
        <v>51</v>
      </c>
      <c r="E22" s="28" t="s">
        <v>306</v>
      </c>
      <c r="F22" s="28" t="s">
        <v>122</v>
      </c>
      <c r="G22" s="30" t="str">
        <f xml:space="preserve"> "피격시 받은 피해량의 "&amp;I22&amp;"%만큼 반사합니다."</f>
        <v>피격시 받은 피해량의 10%만큼 반사합니다.</v>
      </c>
      <c r="H22" s="24" t="s">
        <v>375</v>
      </c>
      <c r="I22" s="24">
        <v>10</v>
      </c>
      <c r="J22" s="24" t="s">
        <v>122</v>
      </c>
    </row>
    <row r="23" spans="1:11" ht="17.25" customHeight="1">
      <c r="A23" s="28" t="s">
        <v>376</v>
      </c>
      <c r="B23" s="28" t="s">
        <v>377</v>
      </c>
      <c r="C23" s="28"/>
      <c r="D23" s="28" t="s">
        <v>46</v>
      </c>
      <c r="E23" s="28" t="s">
        <v>306</v>
      </c>
      <c r="F23" s="28" t="s">
        <v>122</v>
      </c>
      <c r="G23" s="28" t="str">
        <f>"도달한 거리에 비례하여 1km마다 " &amp; I23 &amp; "%만큼 최대 체력이 증가합니다."</f>
        <v>도달한 거리에 비례하여 1km마다 0.1%만큼 최대 체력이 증가합니다.</v>
      </c>
      <c r="H23" s="24" t="s">
        <v>378</v>
      </c>
      <c r="I23" s="24">
        <v>0.1</v>
      </c>
      <c r="J23" s="24" t="s">
        <v>122</v>
      </c>
    </row>
    <row r="24" spans="1:11" ht="17.25" customHeight="1">
      <c r="A24" s="28" t="s">
        <v>379</v>
      </c>
      <c r="B24" s="28" t="s">
        <v>380</v>
      </c>
      <c r="C24" s="28"/>
      <c r="D24" s="28" t="s">
        <v>46</v>
      </c>
      <c r="E24" s="28" t="s">
        <v>306</v>
      </c>
      <c r="F24" s="28" t="s">
        <v>122</v>
      </c>
      <c r="G24" s="28" t="str">
        <f>"적 처치 시 파티 전원이 각자 최대 체력의 " &amp; I24 &amp; "%만큼 회복됩니다."</f>
        <v>적 처치 시 파티 전원이 각자 최대 체력의 1%만큼 회복됩니다.</v>
      </c>
      <c r="H24" s="24" t="s">
        <v>381</v>
      </c>
      <c r="I24" s="24">
        <v>1</v>
      </c>
      <c r="J24" s="24" t="s">
        <v>122</v>
      </c>
      <c r="K24" s="46"/>
    </row>
    <row r="25" spans="1:11" ht="17.25" customHeight="1">
      <c r="A25" s="28" t="s">
        <v>382</v>
      </c>
      <c r="B25" s="28" t="s">
        <v>383</v>
      </c>
      <c r="C25" s="28"/>
      <c r="D25" s="28" t="s">
        <v>51</v>
      </c>
      <c r="E25" s="28" t="s">
        <v>306</v>
      </c>
      <c r="F25" s="28" t="s">
        <v>122</v>
      </c>
      <c r="G25" s="28" t="str">
        <f>"스킬 사용 시 " &amp; I25 &amp; "% 확률로 해당 스킬의 쿨타임이 초기화됩니다."</f>
        <v>스킬 사용 시 30% 확률로 해당 스킬의 쿨타임이 초기화됩니다.</v>
      </c>
      <c r="H25" s="23" t="s">
        <v>384</v>
      </c>
      <c r="I25" s="24">
        <v>30</v>
      </c>
      <c r="J25" s="24" t="s">
        <v>122</v>
      </c>
    </row>
    <row r="26" spans="1:11" ht="17.25" customHeight="1">
      <c r="A26" s="31" t="s">
        <v>385</v>
      </c>
      <c r="B26" s="31" t="s">
        <v>386</v>
      </c>
      <c r="C26" s="31"/>
      <c r="D26" s="31" t="s">
        <v>54</v>
      </c>
      <c r="E26" s="31" t="s">
        <v>306</v>
      </c>
      <c r="F26" s="31" t="s">
        <v>122</v>
      </c>
      <c r="G26" s="32" t="str">
        <f xml:space="preserve"> "현재 잃은 체력비율 1%마다 공격력이 " &amp;I26&amp;"% 증가합니다."</f>
        <v>현재 잃은 체력비율 1%마다 공격력이 1.5% 증가합니다.</v>
      </c>
      <c r="H26" s="24" t="s">
        <v>387</v>
      </c>
      <c r="I26" s="24">
        <v>1.5</v>
      </c>
      <c r="J26" s="24" t="s">
        <v>122</v>
      </c>
      <c r="K26" s="46"/>
    </row>
    <row r="27" spans="1:11" ht="17.25" customHeight="1">
      <c r="A27" s="31" t="s">
        <v>388</v>
      </c>
      <c r="B27" s="31" t="s">
        <v>389</v>
      </c>
      <c r="C27" s="33"/>
      <c r="D27" s="31" t="s">
        <v>54</v>
      </c>
      <c r="E27" s="31" t="s">
        <v>306</v>
      </c>
      <c r="F27" s="31" t="s">
        <v>122</v>
      </c>
      <c r="G27" s="32" t="str">
        <f>"보스 처치시 이동속도가 "&amp;I27&amp;"% 증가합니다."</f>
        <v>보스 처치시 이동속도가 20% 증가합니다.</v>
      </c>
      <c r="H27" s="24" t="s">
        <v>390</v>
      </c>
      <c r="I27" s="24">
        <v>20</v>
      </c>
      <c r="J27" s="24" t="s">
        <v>122</v>
      </c>
    </row>
    <row r="28" spans="1:11" ht="17.25" customHeight="1">
      <c r="A28" s="31" t="s">
        <v>391</v>
      </c>
      <c r="B28" s="31" t="s">
        <v>392</v>
      </c>
      <c r="C28" s="33"/>
      <c r="D28" s="31" t="s">
        <v>54</v>
      </c>
      <c r="E28" s="31" t="s">
        <v>306</v>
      </c>
      <c r="F28" s="31" t="s">
        <v>122</v>
      </c>
      <c r="G28" s="32" t="str">
        <f>"공격 시 "&amp;I28&amp;"%의 확률로 10배의 피해를 가합니다."</f>
        <v>공격 시 5%의 확률로 10배의 피해를 가합니다.</v>
      </c>
      <c r="H28" s="24" t="s">
        <v>393</v>
      </c>
      <c r="I28" s="24">
        <v>5</v>
      </c>
      <c r="J28" s="24" t="s">
        <v>122</v>
      </c>
    </row>
    <row r="29" spans="1:11" ht="17.25" customHeight="1">
      <c r="A29" s="31" t="s">
        <v>394</v>
      </c>
      <c r="B29" s="31" t="s">
        <v>395</v>
      </c>
      <c r="C29" s="33"/>
      <c r="D29" s="31" t="s">
        <v>54</v>
      </c>
      <c r="E29" s="31" t="s">
        <v>306</v>
      </c>
      <c r="F29" s="31" t="s">
        <v>122</v>
      </c>
      <c r="G29" s="32" t="str">
        <f xml:space="preserve"> "파티 전체가 "&amp;I29&amp;"초마다 한 번, 1회의 공격을 막아주는 보호막을 얻습니다."</f>
        <v>파티 전체가 10초마다 한 번, 1회의 공격을 막아주는 보호막을 얻습니다.</v>
      </c>
      <c r="H29" s="24" t="s">
        <v>396</v>
      </c>
      <c r="I29" s="24">
        <v>10</v>
      </c>
      <c r="J29" s="24" t="s">
        <v>122</v>
      </c>
    </row>
    <row r="30" spans="1:11" ht="17.25" customHeight="1">
      <c r="A30" s="31" t="s">
        <v>399</v>
      </c>
      <c r="B30" s="48" t="s">
        <v>525</v>
      </c>
      <c r="C30" s="33"/>
      <c r="D30" s="31" t="s">
        <v>54</v>
      </c>
      <c r="E30" s="31" t="s">
        <v>29</v>
      </c>
      <c r="F30" s="31" t="s">
        <v>40</v>
      </c>
      <c r="G30" s="31" t="str">
        <f xml:space="preserve"> "전사 클래스의 공격력이 " &amp;I30&amp;"% 증가합니다."</f>
        <v>전사 클래스의 공격력이 100% 증가합니다.</v>
      </c>
      <c r="H30" s="23" t="s">
        <v>327</v>
      </c>
      <c r="I30" s="24">
        <v>100</v>
      </c>
      <c r="J30" s="24" t="s">
        <v>253</v>
      </c>
    </row>
    <row r="31" spans="1:11" ht="17.25" customHeight="1">
      <c r="A31" s="31" t="s">
        <v>400</v>
      </c>
      <c r="B31" s="48" t="s">
        <v>526</v>
      </c>
      <c r="C31" s="33"/>
      <c r="D31" s="31" t="s">
        <v>54</v>
      </c>
      <c r="E31" s="31" t="s">
        <v>29</v>
      </c>
      <c r="F31" s="31" t="s">
        <v>45</v>
      </c>
      <c r="G31" s="31" t="str">
        <f xml:space="preserve"> "궁수 클래스의 공격력이 " &amp;I31&amp;"% 증가합니다."</f>
        <v>궁수 클래스의 공격력이 100% 증가합니다.</v>
      </c>
      <c r="H31" s="23" t="s">
        <v>327</v>
      </c>
      <c r="I31" s="24">
        <v>100</v>
      </c>
      <c r="J31" s="24" t="s">
        <v>253</v>
      </c>
    </row>
    <row r="32" spans="1:11" ht="17.25" customHeight="1">
      <c r="A32" s="31" t="s">
        <v>401</v>
      </c>
      <c r="B32" s="48" t="s">
        <v>527</v>
      </c>
      <c r="C32" s="31"/>
      <c r="D32" s="31" t="s">
        <v>54</v>
      </c>
      <c r="E32" s="31" t="s">
        <v>29</v>
      </c>
      <c r="F32" s="31" t="s">
        <v>50</v>
      </c>
      <c r="G32" s="31" t="str">
        <f xml:space="preserve"> "마법사 클래스의 공격력이 " &amp;I32&amp;"% 증가합니다."</f>
        <v>마법사 클래스의 공격력이 100% 증가합니다.</v>
      </c>
      <c r="H32" s="23" t="s">
        <v>327</v>
      </c>
      <c r="I32" s="24">
        <v>100</v>
      </c>
      <c r="J32" s="24" t="s">
        <v>253</v>
      </c>
    </row>
    <row r="33" spans="1:10" ht="17.25" customHeight="1">
      <c r="A33" s="34" t="s">
        <v>402</v>
      </c>
      <c r="B33" s="34" t="s">
        <v>403</v>
      </c>
      <c r="C33" s="35"/>
      <c r="D33" s="34" t="s">
        <v>57</v>
      </c>
      <c r="E33" s="34" t="s">
        <v>29</v>
      </c>
      <c r="F33" s="34" t="s">
        <v>40</v>
      </c>
      <c r="G33" s="47" t="str">
        <f>"전사 클래스의 최종 피해량이 "&amp;I33&amp;"% 증가합니다."</f>
        <v>전사 클래스의 최종 피해량이 400% 증가합니다.</v>
      </c>
      <c r="H33" s="23" t="s">
        <v>327</v>
      </c>
      <c r="I33" s="24">
        <v>400</v>
      </c>
      <c r="J33" s="24" t="s">
        <v>404</v>
      </c>
    </row>
    <row r="34" spans="1:10" ht="17.25" customHeight="1">
      <c r="A34" s="34" t="s">
        <v>405</v>
      </c>
      <c r="B34" s="34" t="s">
        <v>406</v>
      </c>
      <c r="C34" s="35"/>
      <c r="D34" s="34" t="s">
        <v>57</v>
      </c>
      <c r="E34" s="34" t="s">
        <v>29</v>
      </c>
      <c r="F34" s="34" t="s">
        <v>45</v>
      </c>
      <c r="G34" s="47" t="str">
        <f>"궁수 클래스의 최종 피해량이 "&amp;I34&amp;"% 증가합니다."</f>
        <v>궁수 클래스의 최종 피해량이 400% 증가합니다.</v>
      </c>
      <c r="H34" s="23" t="s">
        <v>327</v>
      </c>
      <c r="I34" s="24">
        <v>400</v>
      </c>
      <c r="J34" s="24" t="s">
        <v>404</v>
      </c>
    </row>
    <row r="35" spans="1:10" ht="17.25" customHeight="1">
      <c r="A35" s="34" t="s">
        <v>407</v>
      </c>
      <c r="B35" s="34" t="s">
        <v>408</v>
      </c>
      <c r="C35" s="35"/>
      <c r="D35" s="34" t="s">
        <v>57</v>
      </c>
      <c r="E35" s="34" t="s">
        <v>29</v>
      </c>
      <c r="F35" s="34" t="s">
        <v>50</v>
      </c>
      <c r="G35" s="47" t="str">
        <f>"마법사 클래스의 최종 피해량이 "&amp;I35&amp;"% 증가합니다."</f>
        <v>마법사 클래스의 최종 피해량이 400% 증가합니다.</v>
      </c>
      <c r="H35" s="23" t="s">
        <v>327</v>
      </c>
      <c r="I35" s="24">
        <v>400</v>
      </c>
      <c r="J35" s="24" t="s">
        <v>404</v>
      </c>
    </row>
    <row r="36" spans="1:10" ht="17.25" customHeight="1"/>
    <row r="37" spans="1:10" ht="17.25" customHeight="1"/>
    <row r="38" spans="1:10" ht="17.25" customHeight="1"/>
    <row r="39" spans="1:10" ht="17.25" customHeight="1"/>
    <row r="40" spans="1:10" ht="17.25" customHeight="1"/>
    <row r="41" spans="1:10" ht="17.25" customHeight="1"/>
    <row r="42" spans="1:10" ht="17.25" customHeight="1"/>
    <row r="43" spans="1:10" ht="17.25" customHeight="1"/>
    <row r="44" spans="1:10" ht="17.25" customHeight="1"/>
    <row r="45" spans="1:10" ht="17.25" customHeight="1"/>
    <row r="46" spans="1:10" ht="17.25" customHeight="1"/>
    <row r="47" spans="1:10" ht="17.25" customHeight="1"/>
    <row r="48" spans="1:10" ht="17.25" customHeight="1"/>
    <row r="49" spans="1:7" ht="17.25" customHeight="1"/>
    <row r="50" spans="1:7" ht="17.25" customHeight="1"/>
    <row r="51" spans="1:7" ht="17.25" customHeight="1"/>
    <row r="52" spans="1:7" ht="17.25" customHeight="1"/>
    <row r="53" spans="1:7" ht="17.25" customHeight="1"/>
    <row r="54" spans="1:7" ht="17.25" customHeight="1"/>
    <row r="55" spans="1:7" ht="17.25" customHeight="1">
      <c r="A55" s="31" t="s">
        <v>409</v>
      </c>
      <c r="B55" s="31" t="s">
        <v>410</v>
      </c>
      <c r="C55" s="33"/>
      <c r="D55" s="33"/>
      <c r="E55" s="33"/>
      <c r="F55" s="33"/>
      <c r="G55" s="31" t="s">
        <v>505</v>
      </c>
    </row>
    <row r="56" spans="1:7" ht="17.25" customHeight="1">
      <c r="A56" s="31" t="s">
        <v>411</v>
      </c>
      <c r="B56" s="31" t="s">
        <v>412</v>
      </c>
      <c r="C56" s="33"/>
      <c r="D56" s="33"/>
      <c r="E56" s="33"/>
      <c r="F56" s="33"/>
      <c r="G56" s="31" t="s">
        <v>505</v>
      </c>
    </row>
    <row r="57" spans="1:7" ht="17.25" customHeight="1">
      <c r="A57" s="31" t="s">
        <v>413</v>
      </c>
      <c r="B57" s="31" t="s">
        <v>414</v>
      </c>
      <c r="C57" s="33"/>
      <c r="D57" s="33"/>
      <c r="E57" s="33"/>
      <c r="F57" s="33"/>
      <c r="G57" s="31" t="s">
        <v>505</v>
      </c>
    </row>
    <row r="58" spans="1:7" ht="17.25" customHeight="1"/>
    <row r="59" spans="1:7" ht="17.25" customHeight="1">
      <c r="A59" s="34" t="s">
        <v>415</v>
      </c>
      <c r="B59" s="34" t="s">
        <v>416</v>
      </c>
      <c r="C59" s="35"/>
      <c r="D59" s="35"/>
      <c r="E59" s="35"/>
      <c r="F59" s="35"/>
      <c r="G59" s="34" t="s">
        <v>515</v>
      </c>
    </row>
    <row r="60" spans="1:7" ht="17.25" customHeight="1">
      <c r="A60" s="34" t="s">
        <v>417</v>
      </c>
      <c r="B60" s="34" t="s">
        <v>418</v>
      </c>
      <c r="C60" s="35"/>
      <c r="D60" s="35"/>
      <c r="E60" s="35"/>
      <c r="F60" s="35"/>
      <c r="G60" s="34" t="s">
        <v>516</v>
      </c>
    </row>
    <row r="61" spans="1:7" ht="17.25" customHeight="1">
      <c r="A61" s="34" t="s">
        <v>419</v>
      </c>
      <c r="B61" s="34" t="s">
        <v>420</v>
      </c>
      <c r="C61" s="35"/>
      <c r="D61" s="35"/>
      <c r="E61" s="35"/>
      <c r="F61" s="35"/>
      <c r="G61" s="34" t="s">
        <v>421</v>
      </c>
    </row>
    <row r="62" spans="1:7" ht="17.25" customHeight="1">
      <c r="A62" s="34" t="s">
        <v>422</v>
      </c>
      <c r="B62" s="34" t="s">
        <v>423</v>
      </c>
      <c r="C62" s="35"/>
      <c r="D62" s="35"/>
      <c r="E62" s="35"/>
      <c r="F62" s="35"/>
      <c r="G62" s="34" t="s">
        <v>506</v>
      </c>
    </row>
    <row r="63" spans="1:7" ht="17.25" customHeight="1">
      <c r="A63" s="36"/>
      <c r="B63" s="36"/>
      <c r="C63" s="36"/>
      <c r="D63" s="36"/>
      <c r="E63" s="36"/>
      <c r="F63" s="36"/>
      <c r="G63" s="36"/>
    </row>
    <row r="64" spans="1:7" ht="17.25" customHeight="1">
      <c r="A64" s="36"/>
      <c r="B64" s="36"/>
      <c r="C64" s="36"/>
      <c r="D64" s="36"/>
      <c r="E64" s="36"/>
      <c r="F64" s="36"/>
      <c r="G64" s="36"/>
    </row>
    <row r="65" spans="1:7" ht="17.25" customHeight="1">
      <c r="A65" s="37" t="s">
        <v>424</v>
      </c>
      <c r="B65" s="37" t="s">
        <v>425</v>
      </c>
      <c r="C65" s="37"/>
      <c r="D65" s="37" t="s">
        <v>46</v>
      </c>
      <c r="E65" s="37" t="s">
        <v>306</v>
      </c>
      <c r="F65" s="37" t="s">
        <v>122</v>
      </c>
      <c r="G65" s="37" t="s">
        <v>517</v>
      </c>
    </row>
    <row r="66" spans="1:7" ht="17.25" customHeight="1">
      <c r="A66" s="37" t="s">
        <v>426</v>
      </c>
      <c r="B66" s="37" t="s">
        <v>427</v>
      </c>
      <c r="C66" s="37"/>
      <c r="D66" s="37" t="s">
        <v>46</v>
      </c>
      <c r="E66" s="37" t="s">
        <v>306</v>
      </c>
      <c r="F66" s="37" t="s">
        <v>122</v>
      </c>
      <c r="G66" s="37" t="s">
        <v>428</v>
      </c>
    </row>
    <row r="67" spans="1:7" ht="17.25" customHeight="1">
      <c r="A67" s="38"/>
      <c r="B67" s="38"/>
      <c r="C67" s="38"/>
      <c r="D67" s="38"/>
      <c r="E67" s="38"/>
      <c r="F67" s="38"/>
      <c r="G67" s="38"/>
    </row>
    <row r="68" spans="1:7" ht="17.25" customHeight="1">
      <c r="A68" s="37" t="s">
        <v>429</v>
      </c>
      <c r="B68" s="37" t="s">
        <v>430</v>
      </c>
      <c r="C68" s="37"/>
      <c r="D68" s="37" t="s">
        <v>46</v>
      </c>
      <c r="E68" s="37" t="s">
        <v>306</v>
      </c>
      <c r="F68" s="37" t="s">
        <v>122</v>
      </c>
      <c r="G68" s="37" t="s">
        <v>431</v>
      </c>
    </row>
    <row r="69" spans="1:7" ht="17.25" customHeight="1">
      <c r="A69" s="38"/>
      <c r="B69" s="38"/>
      <c r="C69" s="38"/>
      <c r="D69" s="38"/>
      <c r="E69" s="38"/>
      <c r="F69" s="38"/>
      <c r="G69" s="38"/>
    </row>
    <row r="70" spans="1:7" ht="17.25" customHeight="1">
      <c r="A70" s="37" t="s">
        <v>432</v>
      </c>
      <c r="B70" s="37" t="s">
        <v>433</v>
      </c>
      <c r="C70" s="37"/>
      <c r="D70" s="37" t="s">
        <v>46</v>
      </c>
      <c r="E70" s="37" t="s">
        <v>306</v>
      </c>
      <c r="F70" s="37" t="s">
        <v>122</v>
      </c>
      <c r="G70" s="37" t="s">
        <v>434</v>
      </c>
    </row>
    <row r="71" spans="1:7" ht="17.25" customHeight="1">
      <c r="A71" s="37" t="s">
        <v>435</v>
      </c>
      <c r="B71" s="37" t="s">
        <v>436</v>
      </c>
      <c r="C71" s="37"/>
      <c r="D71" s="37" t="s">
        <v>46</v>
      </c>
      <c r="E71" s="37" t="s">
        <v>306</v>
      </c>
      <c r="F71" s="37" t="s">
        <v>122</v>
      </c>
      <c r="G71" s="37" t="s">
        <v>518</v>
      </c>
    </row>
    <row r="72" spans="1:7" ht="17.25" customHeight="1"/>
    <row r="73" spans="1:7" ht="17.25" customHeight="1">
      <c r="A73" s="28"/>
      <c r="B73" s="28"/>
      <c r="C73" s="28"/>
      <c r="D73" s="28"/>
      <c r="E73" s="28"/>
      <c r="F73" s="28"/>
      <c r="G73" s="28"/>
    </row>
    <row r="74" spans="1:7" ht="17.25" customHeight="1">
      <c r="A74" s="28"/>
      <c r="B74" s="28"/>
      <c r="C74" s="28"/>
      <c r="D74" s="28"/>
      <c r="E74" s="28"/>
      <c r="F74" s="28"/>
      <c r="G74" s="28"/>
    </row>
    <row r="75" spans="1:7" ht="17.25" customHeight="1">
      <c r="A75" s="28"/>
      <c r="B75" s="28"/>
      <c r="C75" s="28"/>
      <c r="D75" s="28"/>
      <c r="E75" s="28"/>
      <c r="F75" s="28"/>
      <c r="G75" s="28"/>
    </row>
    <row r="76" spans="1:7" ht="17.25" customHeight="1">
      <c r="A76" s="28" t="s">
        <v>437</v>
      </c>
      <c r="B76" s="28" t="s">
        <v>438</v>
      </c>
      <c r="C76" s="28"/>
      <c r="D76" s="28" t="s">
        <v>51</v>
      </c>
      <c r="E76" s="28" t="s">
        <v>306</v>
      </c>
      <c r="F76" s="28" t="s">
        <v>122</v>
      </c>
      <c r="G76" s="28" t="s">
        <v>507</v>
      </c>
    </row>
    <row r="77" spans="1:7" ht="17.25" customHeight="1">
      <c r="A77" s="28"/>
      <c r="B77" s="28"/>
      <c r="C77" s="28"/>
      <c r="D77" s="28"/>
      <c r="E77" s="28"/>
      <c r="F77" s="28"/>
      <c r="G77" s="28"/>
    </row>
    <row r="78" spans="1:7" ht="17.25" customHeight="1">
      <c r="A78" s="28" t="s">
        <v>373</v>
      </c>
      <c r="B78" s="28" t="s">
        <v>374</v>
      </c>
      <c r="C78" s="28"/>
      <c r="D78" s="28" t="s">
        <v>51</v>
      </c>
      <c r="E78" s="28" t="s">
        <v>306</v>
      </c>
      <c r="F78" s="28" t="s">
        <v>122</v>
      </c>
      <c r="G78" s="28" t="s">
        <v>439</v>
      </c>
    </row>
    <row r="79" spans="1:7" ht="17.25" customHeight="1">
      <c r="A79" s="28" t="s">
        <v>440</v>
      </c>
      <c r="B79" s="28" t="s">
        <v>441</v>
      </c>
      <c r="C79" s="28"/>
      <c r="D79" s="28" t="s">
        <v>51</v>
      </c>
      <c r="E79" s="28" t="s">
        <v>306</v>
      </c>
      <c r="F79" s="28" t="s">
        <v>122</v>
      </c>
      <c r="G79" s="28" t="s">
        <v>519</v>
      </c>
    </row>
    <row r="80" spans="1:7" ht="17.25" customHeight="1">
      <c r="A80" s="28" t="s">
        <v>442</v>
      </c>
      <c r="B80" s="28" t="s">
        <v>443</v>
      </c>
      <c r="C80" s="28"/>
      <c r="D80" s="28" t="s">
        <v>51</v>
      </c>
      <c r="E80" s="28" t="s">
        <v>306</v>
      </c>
      <c r="F80" s="28" t="s">
        <v>122</v>
      </c>
      <c r="G80" s="28" t="s">
        <v>444</v>
      </c>
    </row>
    <row r="81" spans="1:7" ht="17.25" customHeight="1">
      <c r="A81" s="28" t="s">
        <v>445</v>
      </c>
      <c r="B81" s="28" t="s">
        <v>446</v>
      </c>
      <c r="C81" s="28"/>
      <c r="D81" s="28" t="s">
        <v>51</v>
      </c>
      <c r="E81" s="28" t="s">
        <v>306</v>
      </c>
      <c r="F81" s="28" t="s">
        <v>122</v>
      </c>
      <c r="G81" s="28" t="s">
        <v>447</v>
      </c>
    </row>
    <row r="82" spans="1:7" ht="17.25" customHeight="1">
      <c r="A82" s="28"/>
      <c r="B82" s="28"/>
      <c r="C82" s="28"/>
      <c r="D82" s="28"/>
      <c r="E82" s="28"/>
      <c r="F82" s="28"/>
      <c r="G82" s="28"/>
    </row>
    <row r="83" spans="1:7" ht="17.25" customHeight="1">
      <c r="A83" s="28" t="s">
        <v>448</v>
      </c>
      <c r="B83" s="28" t="s">
        <v>449</v>
      </c>
      <c r="C83" s="28"/>
      <c r="D83" s="28" t="s">
        <v>51</v>
      </c>
      <c r="E83" s="28" t="s">
        <v>306</v>
      </c>
      <c r="F83" s="28" t="s">
        <v>122</v>
      </c>
      <c r="G83" s="28" t="s">
        <v>450</v>
      </c>
    </row>
    <row r="84" spans="1:7" ht="17.25" customHeight="1">
      <c r="A84" s="28" t="s">
        <v>451</v>
      </c>
      <c r="B84" s="28" t="s">
        <v>452</v>
      </c>
      <c r="C84" s="28"/>
      <c r="D84" s="28" t="s">
        <v>51</v>
      </c>
      <c r="E84" s="28" t="s">
        <v>306</v>
      </c>
      <c r="F84" s="28" t="s">
        <v>122</v>
      </c>
      <c r="G84" s="28" t="s">
        <v>520</v>
      </c>
    </row>
    <row r="85" spans="1:7" ht="17.25" customHeight="1">
      <c r="A85" s="28" t="s">
        <v>453</v>
      </c>
      <c r="B85" s="28" t="s">
        <v>454</v>
      </c>
      <c r="C85" s="28"/>
      <c r="D85" s="28" t="s">
        <v>51</v>
      </c>
      <c r="E85" s="28" t="s">
        <v>306</v>
      </c>
      <c r="F85" s="28" t="s">
        <v>122</v>
      </c>
      <c r="G85" s="28" t="s">
        <v>521</v>
      </c>
    </row>
    <row r="86" spans="1:7" ht="17.25" customHeight="1">
      <c r="A86" s="31" t="s">
        <v>397</v>
      </c>
      <c r="B86" s="31" t="s">
        <v>398</v>
      </c>
      <c r="C86" s="31"/>
      <c r="D86" s="31" t="s">
        <v>54</v>
      </c>
      <c r="E86" s="31" t="s">
        <v>306</v>
      </c>
      <c r="F86" s="31" t="s">
        <v>122</v>
      </c>
      <c r="G86" s="31" t="s">
        <v>455</v>
      </c>
    </row>
    <row r="87" spans="1:7" ht="17.25" customHeight="1">
      <c r="A87" s="31" t="s">
        <v>385</v>
      </c>
      <c r="B87" s="31" t="s">
        <v>386</v>
      </c>
      <c r="C87" s="31"/>
      <c r="D87" s="31" t="s">
        <v>54</v>
      </c>
      <c r="E87" s="31" t="s">
        <v>306</v>
      </c>
      <c r="F87" s="31" t="s">
        <v>122</v>
      </c>
      <c r="G87" s="31" t="s">
        <v>508</v>
      </c>
    </row>
    <row r="88" spans="1:7" ht="17.25" customHeight="1">
      <c r="A88" s="31" t="s">
        <v>388</v>
      </c>
      <c r="B88" s="31" t="s">
        <v>389</v>
      </c>
      <c r="C88" s="31"/>
      <c r="D88" s="31" t="s">
        <v>54</v>
      </c>
      <c r="E88" s="31" t="s">
        <v>306</v>
      </c>
      <c r="F88" s="31" t="s">
        <v>122</v>
      </c>
      <c r="G88" s="31" t="s">
        <v>509</v>
      </c>
    </row>
    <row r="89" spans="1:7" ht="17.25" customHeight="1">
      <c r="A89" s="31" t="s">
        <v>391</v>
      </c>
      <c r="B89" s="31" t="s">
        <v>392</v>
      </c>
      <c r="C89" s="31"/>
      <c r="D89" s="31" t="s">
        <v>54</v>
      </c>
      <c r="E89" s="31" t="s">
        <v>306</v>
      </c>
      <c r="F89" s="31" t="s">
        <v>122</v>
      </c>
      <c r="G89" s="31" t="s">
        <v>510</v>
      </c>
    </row>
    <row r="90" spans="1:7" ht="17.25" customHeight="1">
      <c r="A90" s="31" t="s">
        <v>394</v>
      </c>
      <c r="B90" s="31" t="s">
        <v>395</v>
      </c>
      <c r="C90" s="31"/>
      <c r="D90" s="31" t="s">
        <v>54</v>
      </c>
      <c r="E90" s="31" t="s">
        <v>306</v>
      </c>
      <c r="F90" s="31" t="s">
        <v>122</v>
      </c>
      <c r="G90" s="31" t="s">
        <v>456</v>
      </c>
    </row>
    <row r="91" spans="1:7" ht="17.25" customHeight="1">
      <c r="A91" s="31" t="s">
        <v>457</v>
      </c>
      <c r="B91" s="31" t="s">
        <v>458</v>
      </c>
      <c r="C91" s="31"/>
      <c r="D91" s="31" t="s">
        <v>54</v>
      </c>
      <c r="E91" s="31" t="s">
        <v>306</v>
      </c>
      <c r="F91" s="31" t="s">
        <v>122</v>
      </c>
      <c r="G91" s="31" t="s">
        <v>459</v>
      </c>
    </row>
    <row r="92" spans="1:7" ht="17.25" customHeight="1">
      <c r="A92" s="31" t="s">
        <v>460</v>
      </c>
      <c r="B92" s="31" t="s">
        <v>461</v>
      </c>
      <c r="C92" s="31"/>
      <c r="D92" s="31" t="s">
        <v>54</v>
      </c>
      <c r="E92" s="31" t="s">
        <v>306</v>
      </c>
      <c r="F92" s="31" t="s">
        <v>122</v>
      </c>
      <c r="G92" s="31" t="s">
        <v>462</v>
      </c>
    </row>
    <row r="93" spans="1:7" ht="17.25" customHeight="1">
      <c r="A93" s="31" t="s">
        <v>463</v>
      </c>
      <c r="B93" s="31" t="s">
        <v>464</v>
      </c>
      <c r="C93" s="31"/>
      <c r="D93" s="31" t="s">
        <v>54</v>
      </c>
      <c r="E93" s="31" t="s">
        <v>306</v>
      </c>
      <c r="F93" s="31" t="s">
        <v>122</v>
      </c>
      <c r="G93" s="31" t="s">
        <v>465</v>
      </c>
    </row>
    <row r="94" spans="1:7" ht="17.25" customHeight="1">
      <c r="A94" s="31" t="s">
        <v>409</v>
      </c>
      <c r="B94" s="31"/>
      <c r="C94" s="31"/>
      <c r="D94" s="31" t="s">
        <v>54</v>
      </c>
      <c r="E94" s="31" t="s">
        <v>306</v>
      </c>
      <c r="F94" s="31" t="s">
        <v>122</v>
      </c>
      <c r="G94" s="31" t="s">
        <v>511</v>
      </c>
    </row>
    <row r="95" spans="1:7" ht="17.25" customHeight="1">
      <c r="A95" s="31" t="s">
        <v>411</v>
      </c>
      <c r="B95" s="31"/>
      <c r="C95" s="31"/>
      <c r="D95" s="31" t="s">
        <v>54</v>
      </c>
      <c r="E95" s="31" t="s">
        <v>306</v>
      </c>
      <c r="F95" s="31" t="s">
        <v>122</v>
      </c>
      <c r="G95" s="31" t="s">
        <v>512</v>
      </c>
    </row>
    <row r="96" spans="1:7" ht="17.25" customHeight="1">
      <c r="A96" s="31" t="s">
        <v>413</v>
      </c>
      <c r="B96" s="31"/>
      <c r="C96" s="31"/>
      <c r="D96" s="31" t="s">
        <v>54</v>
      </c>
      <c r="E96" s="31" t="s">
        <v>306</v>
      </c>
      <c r="F96" s="31" t="s">
        <v>122</v>
      </c>
      <c r="G96" s="31" t="s">
        <v>513</v>
      </c>
    </row>
    <row r="97" spans="1:7" ht="17.25" customHeight="1">
      <c r="A97" s="31" t="s">
        <v>466</v>
      </c>
      <c r="B97" s="31" t="s">
        <v>467</v>
      </c>
      <c r="C97" s="31"/>
      <c r="D97" s="31" t="s">
        <v>54</v>
      </c>
      <c r="E97" s="31" t="s">
        <v>306</v>
      </c>
      <c r="F97" s="31" t="s">
        <v>122</v>
      </c>
      <c r="G97" s="31" t="s">
        <v>514</v>
      </c>
    </row>
    <row r="98" spans="1:7" ht="17.25" customHeight="1">
      <c r="A98" s="31" t="s">
        <v>468</v>
      </c>
      <c r="B98" s="31" t="s">
        <v>469</v>
      </c>
      <c r="C98" s="31"/>
      <c r="D98" s="31" t="s">
        <v>54</v>
      </c>
      <c r="E98" s="31" t="s">
        <v>306</v>
      </c>
      <c r="F98" s="31" t="s">
        <v>122</v>
      </c>
      <c r="G98" s="31" t="s">
        <v>470</v>
      </c>
    </row>
    <row r="99" spans="1:7" ht="17.25" customHeight="1">
      <c r="A99" s="31" t="s">
        <v>471</v>
      </c>
      <c r="B99" s="31" t="s">
        <v>472</v>
      </c>
      <c r="C99" s="31"/>
      <c r="D99" s="31" t="s">
        <v>54</v>
      </c>
      <c r="E99" s="31" t="s">
        <v>306</v>
      </c>
      <c r="F99" s="31" t="s">
        <v>122</v>
      </c>
      <c r="G99" s="31" t="s">
        <v>473</v>
      </c>
    </row>
    <row r="100" spans="1:7" ht="17.25" customHeight="1">
      <c r="A100" s="31" t="s">
        <v>474</v>
      </c>
      <c r="B100" s="31" t="s">
        <v>475</v>
      </c>
      <c r="C100" s="31"/>
      <c r="D100" s="31" t="s">
        <v>54</v>
      </c>
      <c r="E100" s="31" t="s">
        <v>306</v>
      </c>
      <c r="F100" s="31" t="s">
        <v>122</v>
      </c>
      <c r="G100" s="31" t="s">
        <v>476</v>
      </c>
    </row>
    <row r="101" spans="1:7" ht="17.25" customHeight="1"/>
    <row r="102" spans="1:7" ht="17.25" customHeight="1"/>
    <row r="103" spans="1:7" ht="17.25" customHeight="1"/>
    <row r="104" spans="1:7" ht="17.25" customHeight="1">
      <c r="A104" s="34" t="s">
        <v>415</v>
      </c>
      <c r="B104" s="34" t="s">
        <v>416</v>
      </c>
      <c r="C104" s="35"/>
      <c r="D104" s="34" t="s">
        <v>57</v>
      </c>
      <c r="E104" s="34" t="s">
        <v>306</v>
      </c>
      <c r="F104" s="34" t="s">
        <v>122</v>
      </c>
      <c r="G104" s="34" t="s">
        <v>515</v>
      </c>
    </row>
    <row r="105" spans="1:7" ht="17.25" customHeight="1">
      <c r="A105" s="34" t="s">
        <v>417</v>
      </c>
      <c r="B105" s="34" t="s">
        <v>418</v>
      </c>
      <c r="C105" s="35"/>
      <c r="D105" s="34" t="s">
        <v>57</v>
      </c>
      <c r="E105" s="34" t="s">
        <v>306</v>
      </c>
      <c r="F105" s="34" t="s">
        <v>122</v>
      </c>
      <c r="G105" s="34" t="s">
        <v>516</v>
      </c>
    </row>
    <row r="106" spans="1:7" ht="17.25" customHeight="1">
      <c r="A106" s="34" t="s">
        <v>419</v>
      </c>
      <c r="B106" s="34" t="s">
        <v>420</v>
      </c>
      <c r="C106" s="35"/>
      <c r="D106" s="34" t="s">
        <v>57</v>
      </c>
      <c r="E106" s="34" t="s">
        <v>306</v>
      </c>
      <c r="F106" s="34" t="s">
        <v>122</v>
      </c>
      <c r="G106" s="34" t="s">
        <v>421</v>
      </c>
    </row>
    <row r="107" spans="1:7" ht="17.25" customHeight="1">
      <c r="A107" s="34" t="s">
        <v>422</v>
      </c>
      <c r="B107" s="34" t="s">
        <v>423</v>
      </c>
      <c r="C107" s="35"/>
      <c r="D107" s="34" t="s">
        <v>57</v>
      </c>
      <c r="E107" s="34" t="s">
        <v>306</v>
      </c>
      <c r="F107" s="34" t="s">
        <v>122</v>
      </c>
      <c r="G107" s="34" t="s">
        <v>506</v>
      </c>
    </row>
    <row r="108" spans="1:7" ht="17.25" customHeight="1">
      <c r="A108" s="34" t="s">
        <v>477</v>
      </c>
      <c r="B108" s="34" t="s">
        <v>478</v>
      </c>
      <c r="C108" s="35"/>
      <c r="D108" s="34" t="s">
        <v>57</v>
      </c>
      <c r="E108" s="34" t="s">
        <v>306</v>
      </c>
      <c r="F108" s="34" t="s">
        <v>122</v>
      </c>
      <c r="G108" s="34" t="s">
        <v>479</v>
      </c>
    </row>
    <row r="109" spans="1:7" ht="17.25" customHeight="1"/>
    <row r="110" spans="1:7" ht="17.25" customHeight="1"/>
    <row r="111" spans="1:7" ht="17.25" customHeight="1"/>
    <row r="112" spans="1:7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</sheetData>
  <phoneticPr fontId="7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>
      <selection activeCell="G12" sqref="G12"/>
    </sheetView>
  </sheetViews>
  <sheetFormatPr defaultColWidth="14.42578125" defaultRowHeight="15" customHeight="1"/>
  <cols>
    <col min="1" max="1" width="7.42578125" customWidth="1"/>
    <col min="2" max="2" width="11.7109375" customWidth="1"/>
    <col min="3" max="3" width="12.140625" customWidth="1"/>
    <col min="4" max="4" width="8.7109375" customWidth="1"/>
    <col min="5" max="5" width="12.5703125" customWidth="1"/>
    <col min="6" max="6" width="12.7109375" customWidth="1"/>
    <col min="7" max="7" width="12.85546875" customWidth="1"/>
    <col min="8" max="8" width="11.42578125" customWidth="1"/>
    <col min="9" max="9" width="11.140625" customWidth="1"/>
    <col min="10" max="26" width="8.7109375" customWidth="1"/>
  </cols>
  <sheetData>
    <row r="1" spans="1:9" ht="17.25" customHeight="1">
      <c r="A1" s="4" t="s">
        <v>0</v>
      </c>
      <c r="B1" s="4" t="s">
        <v>27</v>
      </c>
      <c r="C1" s="4" t="s">
        <v>480</v>
      </c>
      <c r="D1" s="4" t="s">
        <v>481</v>
      </c>
      <c r="E1" s="4" t="s">
        <v>482</v>
      </c>
      <c r="F1" s="4" t="s">
        <v>483</v>
      </c>
      <c r="G1" s="4" t="s">
        <v>484</v>
      </c>
      <c r="H1" s="4" t="s">
        <v>485</v>
      </c>
      <c r="I1" s="4" t="s">
        <v>37</v>
      </c>
    </row>
    <row r="2" spans="1:9" ht="17.25" customHeight="1">
      <c r="A2" s="39" t="s">
        <v>486</v>
      </c>
      <c r="B2" s="4" t="s">
        <v>487</v>
      </c>
      <c r="C2" s="40">
        <v>0</v>
      </c>
      <c r="D2" s="41">
        <v>3</v>
      </c>
      <c r="E2" s="41">
        <v>60</v>
      </c>
      <c r="F2" s="40">
        <v>60</v>
      </c>
      <c r="G2" s="4">
        <v>1.2085999999999999</v>
      </c>
      <c r="H2" s="4">
        <v>1.1484000000000001</v>
      </c>
      <c r="I2" s="4" t="s">
        <v>488</v>
      </c>
    </row>
    <row r="3" spans="1:9" ht="17.25" customHeight="1">
      <c r="A3" s="39" t="s">
        <v>489</v>
      </c>
      <c r="B3" s="39" t="s">
        <v>490</v>
      </c>
      <c r="C3" s="40">
        <v>30</v>
      </c>
      <c r="D3" s="41">
        <v>5</v>
      </c>
      <c r="E3" s="41">
        <v>833</v>
      </c>
      <c r="F3" s="40">
        <v>280</v>
      </c>
      <c r="G3" s="4">
        <v>1.2085999999999999</v>
      </c>
      <c r="H3" s="4">
        <v>1.1484000000000001</v>
      </c>
      <c r="I3" s="4" t="s">
        <v>488</v>
      </c>
    </row>
    <row r="4" spans="1:9" ht="17.25" customHeight="1">
      <c r="A4" s="39" t="s">
        <v>491</v>
      </c>
      <c r="B4" s="39" t="s">
        <v>492</v>
      </c>
      <c r="C4" s="40">
        <v>60</v>
      </c>
      <c r="D4" s="41">
        <v>10</v>
      </c>
      <c r="E4" s="41">
        <v>1446</v>
      </c>
      <c r="F4" s="40">
        <v>646</v>
      </c>
      <c r="G4" s="4">
        <v>1.2085999999999999</v>
      </c>
      <c r="H4" s="4">
        <v>1.1484000000000001</v>
      </c>
      <c r="I4" s="4" t="s">
        <v>488</v>
      </c>
    </row>
    <row r="5" spans="1:9" ht="17.25" customHeight="1">
      <c r="A5" s="39" t="s">
        <v>493</v>
      </c>
      <c r="B5" s="39" t="s">
        <v>494</v>
      </c>
      <c r="C5" s="40">
        <v>90</v>
      </c>
      <c r="D5" s="41">
        <v>30</v>
      </c>
      <c r="E5" s="41">
        <v>5024</v>
      </c>
      <c r="F5" s="40">
        <v>6281</v>
      </c>
      <c r="G5" s="4">
        <v>1.2085999999999999</v>
      </c>
      <c r="H5" s="4">
        <v>1.1484000000000001</v>
      </c>
      <c r="I5" s="4" t="s">
        <v>488</v>
      </c>
    </row>
    <row r="6" spans="1:9" ht="17.25" customHeight="1">
      <c r="A6" s="39" t="s">
        <v>495</v>
      </c>
      <c r="B6" s="39" t="s">
        <v>496</v>
      </c>
      <c r="C6" s="40">
        <v>120</v>
      </c>
      <c r="D6" s="41">
        <v>60</v>
      </c>
      <c r="E6" s="41">
        <v>11494</v>
      </c>
      <c r="F6" s="40">
        <v>24630</v>
      </c>
      <c r="G6" s="4">
        <v>1.2085999999999999</v>
      </c>
      <c r="H6" s="4">
        <v>1.1484000000000001</v>
      </c>
      <c r="I6" s="4" t="s">
        <v>488</v>
      </c>
    </row>
    <row r="7" spans="1:9" ht="17.25" customHeight="1">
      <c r="A7" s="39" t="s">
        <v>497</v>
      </c>
      <c r="B7" s="39" t="s">
        <v>498</v>
      </c>
      <c r="C7" s="40">
        <v>150</v>
      </c>
      <c r="D7" s="41">
        <v>210</v>
      </c>
      <c r="E7" s="41">
        <v>52594</v>
      </c>
      <c r="F7" s="40">
        <v>295800</v>
      </c>
      <c r="G7" s="4">
        <v>1.2085999999999999</v>
      </c>
      <c r="H7" s="4">
        <v>1.1484000000000001</v>
      </c>
      <c r="I7" s="4" t="s">
        <v>488</v>
      </c>
    </row>
    <row r="8" spans="1:9" ht="17.25" customHeight="1">
      <c r="A8" s="39" t="s">
        <v>499</v>
      </c>
      <c r="B8" s="39" t="s">
        <v>500</v>
      </c>
      <c r="C8" s="40">
        <v>180</v>
      </c>
      <c r="D8" s="41">
        <v>300</v>
      </c>
      <c r="E8" s="41">
        <v>120323</v>
      </c>
      <c r="F8" s="40">
        <v>1003000</v>
      </c>
      <c r="G8" s="4">
        <v>1.2085999999999999</v>
      </c>
      <c r="H8" s="4">
        <v>1.1484000000000001</v>
      </c>
      <c r="I8" s="4" t="s">
        <v>488</v>
      </c>
    </row>
    <row r="9" spans="1:9" ht="17.25" customHeight="1">
      <c r="A9" s="39" t="s">
        <v>501</v>
      </c>
      <c r="B9" s="39" t="s">
        <v>502</v>
      </c>
      <c r="C9" s="40">
        <v>210</v>
      </c>
      <c r="D9" s="41">
        <v>600</v>
      </c>
      <c r="E9" s="41">
        <v>550543</v>
      </c>
      <c r="F9" s="40">
        <v>8258000</v>
      </c>
      <c r="G9" s="4">
        <v>1.2085999999999999</v>
      </c>
      <c r="H9" s="4">
        <v>1.1484000000000001</v>
      </c>
      <c r="I9" s="4" t="s">
        <v>488</v>
      </c>
    </row>
    <row r="10" spans="1:9" ht="17.25" customHeight="1">
      <c r="A10" s="39" t="s">
        <v>503</v>
      </c>
      <c r="B10" s="39" t="s">
        <v>504</v>
      </c>
      <c r="C10" s="40">
        <v>240</v>
      </c>
      <c r="D10" s="41">
        <v>900</v>
      </c>
      <c r="E10" s="41">
        <v>1260000</v>
      </c>
      <c r="F10" s="40">
        <v>25760000</v>
      </c>
      <c r="G10" s="4">
        <v>1.2085999999999999</v>
      </c>
      <c r="H10" s="4">
        <v>1.1484000000000001</v>
      </c>
      <c r="I10" s="4" t="s">
        <v>488</v>
      </c>
    </row>
    <row r="11" spans="1:9" ht="17.25" customHeight="1"/>
    <row r="12" spans="1:9" ht="17.25" customHeight="1"/>
    <row r="13" spans="1:9" ht="17.25" customHeight="1"/>
    <row r="14" spans="1:9" ht="17.25" customHeight="1"/>
    <row r="15" spans="1:9" ht="17.25" customHeight="1"/>
    <row r="16" spans="1:9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Character_Status</vt:lpstr>
      <vt:lpstr>Character_IDs</vt:lpstr>
      <vt:lpstr>Skill_IDs</vt:lpstr>
      <vt:lpstr>Enemy_Status</vt:lpstr>
      <vt:lpstr>Enemy_IDs</vt:lpstr>
      <vt:lpstr>Rune_IDs</vt:lpstr>
      <vt:lpstr>Artifact_IDs</vt:lpstr>
      <vt:lpstr>QuestInfo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kyeongseok Oh</cp:lastModifiedBy>
  <dcterms:modified xsi:type="dcterms:W3CDTF">2025-11-03T01:54:17Z</dcterms:modified>
</cp:coreProperties>
</file>